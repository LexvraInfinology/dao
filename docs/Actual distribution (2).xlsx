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bika_Audit\Desktop\"/>
    </mc:Choice>
  </mc:AlternateContent>
  <bookViews>
    <workbookView xWindow="0" yWindow="0" windowWidth="19200" windowHeight="6930" firstSheet="1" activeTab="1"/>
  </bookViews>
  <sheets>
    <sheet name="Total User-wise Inflow" sheetId="1" state="hidden" r:id="rId1"/>
    <sheet name="Total User-wise Inflow (2)" sheetId="3" r:id="rId2"/>
  </sheets>
  <definedNames>
    <definedName name="_xlnm._FilterDatabase" localSheetId="0" hidden="1">'Total User-wise Inflow'!$A$4:$D$104</definedName>
    <definedName name="_xlnm._FilterDatabase" localSheetId="1" hidden="1">'Total User-wise Inflow (2)'!$A$4:$D$104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M6" i="3"/>
  <c r="M5" i="3"/>
  <c r="G80" i="3"/>
  <c r="D80" i="3"/>
  <c r="F80" i="3" s="1"/>
  <c r="C80" i="3"/>
  <c r="G16" i="3"/>
  <c r="M7" i="3"/>
  <c r="A8" i="3"/>
  <c r="A7" i="3"/>
  <c r="C7" i="3" s="1"/>
  <c r="A6" i="3"/>
  <c r="C6" i="3" s="1"/>
  <c r="N5" i="3"/>
  <c r="I5" i="3"/>
  <c r="G5" i="3"/>
  <c r="F5" i="3"/>
  <c r="C5" i="3"/>
  <c r="D5" i="3" s="1"/>
  <c r="J5" i="3" s="1"/>
  <c r="G80" i="1"/>
  <c r="G16" i="1"/>
  <c r="G5" i="1"/>
  <c r="D81" i="1"/>
  <c r="D17" i="1"/>
  <c r="D14" i="1"/>
  <c r="D13" i="1"/>
  <c r="D12" i="1"/>
  <c r="D11" i="1"/>
  <c r="D10" i="1"/>
  <c r="D9" i="1"/>
  <c r="D8" i="1"/>
  <c r="D7" i="1"/>
  <c r="D6" i="1"/>
  <c r="D5" i="1"/>
  <c r="D97" i="1"/>
  <c r="D96" i="1"/>
  <c r="D93" i="1"/>
  <c r="D92" i="1"/>
  <c r="D91" i="1"/>
  <c r="D90" i="1"/>
  <c r="D87" i="1"/>
  <c r="D86" i="1"/>
  <c r="D85" i="1"/>
  <c r="D82" i="1"/>
  <c r="D79" i="1"/>
  <c r="D78" i="1"/>
  <c r="D77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6" i="1"/>
  <c r="D15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C5" i="1"/>
  <c r="D95" i="1"/>
  <c r="D94" i="1"/>
  <c r="D89" i="1"/>
  <c r="D88" i="1"/>
  <c r="D84" i="1"/>
  <c r="D83" i="1"/>
  <c r="D80" i="1"/>
  <c r="M5" i="1"/>
  <c r="N5" i="1"/>
  <c r="M6" i="1"/>
  <c r="M8" i="1" s="1"/>
  <c r="J5" i="1"/>
  <c r="I5" i="1"/>
  <c r="C80" i="1"/>
  <c r="A9" i="3" l="1"/>
  <c r="C8" i="3"/>
  <c r="N6" i="1"/>
  <c r="N8" i="1" s="1"/>
  <c r="F5" i="1"/>
  <c r="C9" i="3" l="1"/>
  <c r="A10" i="3"/>
  <c r="A6" i="1"/>
  <c r="C6" i="1" s="1"/>
  <c r="C10" i="3" l="1"/>
  <c r="A11" i="3"/>
  <c r="A7" i="1"/>
  <c r="C7" i="1" s="1"/>
  <c r="C11" i="3" l="1"/>
  <c r="A12" i="3"/>
  <c r="A8" i="1"/>
  <c r="C8" i="1" s="1"/>
  <c r="A13" i="3" l="1"/>
  <c r="C12" i="3"/>
  <c r="A9" i="1"/>
  <c r="C9" i="1" s="1"/>
  <c r="A14" i="3" l="1"/>
  <c r="C13" i="3"/>
  <c r="A10" i="1"/>
  <c r="A15" i="3" l="1"/>
  <c r="C14" i="3"/>
  <c r="A11" i="1"/>
  <c r="C10" i="1"/>
  <c r="A16" i="3" l="1"/>
  <c r="A17" i="3" s="1"/>
  <c r="C15" i="3"/>
  <c r="A12" i="1"/>
  <c r="C11" i="1"/>
  <c r="A18" i="3" l="1"/>
  <c r="C17" i="3"/>
  <c r="A13" i="1"/>
  <c r="C12" i="1"/>
  <c r="A19" i="3" l="1"/>
  <c r="C18" i="3"/>
  <c r="A14" i="1"/>
  <c r="C13" i="1"/>
  <c r="A20" i="3" l="1"/>
  <c r="C19" i="3"/>
  <c r="A15" i="1"/>
  <c r="C15" i="1" s="1"/>
  <c r="C14" i="1"/>
  <c r="A21" i="3" l="1"/>
  <c r="C20" i="3"/>
  <c r="A16" i="1"/>
  <c r="A22" i="3" l="1"/>
  <c r="C21" i="3"/>
  <c r="A17" i="1"/>
  <c r="C17" i="1" s="1"/>
  <c r="A23" i="3" l="1"/>
  <c r="C22" i="3"/>
  <c r="A18" i="1"/>
  <c r="C18" i="1" s="1"/>
  <c r="A24" i="3" l="1"/>
  <c r="C23" i="3"/>
  <c r="A19" i="1"/>
  <c r="C19" i="1" s="1"/>
  <c r="A25" i="3" l="1"/>
  <c r="C24" i="3"/>
  <c r="A20" i="1"/>
  <c r="C20" i="1" s="1"/>
  <c r="A26" i="3" l="1"/>
  <c r="C25" i="3"/>
  <c r="A21" i="1"/>
  <c r="C21" i="1" s="1"/>
  <c r="A27" i="3" l="1"/>
  <c r="C26" i="3"/>
  <c r="A22" i="1"/>
  <c r="C22" i="1" s="1"/>
  <c r="A28" i="3" l="1"/>
  <c r="C27" i="3"/>
  <c r="A23" i="1"/>
  <c r="C23" i="1" s="1"/>
  <c r="A29" i="3" l="1"/>
  <c r="C28" i="3"/>
  <c r="A24" i="1"/>
  <c r="C24" i="1" s="1"/>
  <c r="A30" i="3" l="1"/>
  <c r="C29" i="3"/>
  <c r="A25" i="1"/>
  <c r="C25" i="1" s="1"/>
  <c r="A31" i="3" l="1"/>
  <c r="C30" i="3"/>
  <c r="A26" i="1"/>
  <c r="C26" i="1" s="1"/>
  <c r="A32" i="3" l="1"/>
  <c r="C31" i="3"/>
  <c r="A27" i="1"/>
  <c r="C27" i="1" s="1"/>
  <c r="A33" i="3" l="1"/>
  <c r="C32" i="3"/>
  <c r="A28" i="1"/>
  <c r="C28" i="1" s="1"/>
  <c r="A34" i="3" l="1"/>
  <c r="C33" i="3"/>
  <c r="A29" i="1"/>
  <c r="C29" i="1" s="1"/>
  <c r="A35" i="3" l="1"/>
  <c r="C34" i="3"/>
  <c r="A30" i="1"/>
  <c r="C30" i="1" s="1"/>
  <c r="A36" i="3" l="1"/>
  <c r="C35" i="3"/>
  <c r="A31" i="1"/>
  <c r="C31" i="1" s="1"/>
  <c r="A37" i="3" l="1"/>
  <c r="C36" i="3"/>
  <c r="A32" i="1"/>
  <c r="C32" i="1" s="1"/>
  <c r="A38" i="3" l="1"/>
  <c r="C37" i="3"/>
  <c r="A33" i="1"/>
  <c r="C33" i="1" s="1"/>
  <c r="A39" i="3" l="1"/>
  <c r="C38" i="3"/>
  <c r="A34" i="1"/>
  <c r="C34" i="1" s="1"/>
  <c r="A40" i="3" l="1"/>
  <c r="C39" i="3"/>
  <c r="A35" i="1"/>
  <c r="C35" i="1" s="1"/>
  <c r="A41" i="3" l="1"/>
  <c r="C40" i="3"/>
  <c r="A36" i="1"/>
  <c r="C36" i="1" s="1"/>
  <c r="A42" i="3" l="1"/>
  <c r="C41" i="3"/>
  <c r="A37" i="1"/>
  <c r="C37" i="1" s="1"/>
  <c r="A43" i="3" l="1"/>
  <c r="C42" i="3"/>
  <c r="A38" i="1"/>
  <c r="C38" i="1" s="1"/>
  <c r="A44" i="3" l="1"/>
  <c r="C43" i="3"/>
  <c r="A39" i="1"/>
  <c r="C39" i="1" s="1"/>
  <c r="A45" i="3" l="1"/>
  <c r="C44" i="3"/>
  <c r="A40" i="1"/>
  <c r="C40" i="1" s="1"/>
  <c r="A46" i="3" l="1"/>
  <c r="C45" i="3"/>
  <c r="A41" i="1"/>
  <c r="C41" i="1" s="1"/>
  <c r="A47" i="3" l="1"/>
  <c r="C46" i="3"/>
  <c r="A42" i="1"/>
  <c r="C42" i="1" s="1"/>
  <c r="A48" i="3" l="1"/>
  <c r="C47" i="3"/>
  <c r="A43" i="1"/>
  <c r="C43" i="1" s="1"/>
  <c r="A49" i="3" l="1"/>
  <c r="C48" i="3"/>
  <c r="A44" i="1"/>
  <c r="C44" i="1" s="1"/>
  <c r="A50" i="3" l="1"/>
  <c r="C49" i="3"/>
  <c r="A45" i="1"/>
  <c r="C45" i="1" s="1"/>
  <c r="A51" i="3" l="1"/>
  <c r="C50" i="3"/>
  <c r="A46" i="1"/>
  <c r="C46" i="1" s="1"/>
  <c r="A52" i="3" l="1"/>
  <c r="C51" i="3"/>
  <c r="A47" i="1"/>
  <c r="C47" i="1" s="1"/>
  <c r="A53" i="3" l="1"/>
  <c r="C52" i="3"/>
  <c r="A48" i="1"/>
  <c r="C48" i="1" s="1"/>
  <c r="A54" i="3" l="1"/>
  <c r="C53" i="3"/>
  <c r="A49" i="1"/>
  <c r="C49" i="1" s="1"/>
  <c r="A55" i="3" l="1"/>
  <c r="C54" i="3"/>
  <c r="A50" i="1"/>
  <c r="C50" i="1" s="1"/>
  <c r="A56" i="3" l="1"/>
  <c r="C55" i="3"/>
  <c r="A51" i="1"/>
  <c r="C51" i="1" s="1"/>
  <c r="A57" i="3" l="1"/>
  <c r="C56" i="3"/>
  <c r="A52" i="1"/>
  <c r="C52" i="1" s="1"/>
  <c r="A58" i="3" l="1"/>
  <c r="C57" i="3"/>
  <c r="A53" i="1"/>
  <c r="C53" i="1" s="1"/>
  <c r="A59" i="3" l="1"/>
  <c r="C58" i="3"/>
  <c r="A54" i="1"/>
  <c r="C54" i="1" s="1"/>
  <c r="A60" i="3" l="1"/>
  <c r="C59" i="3"/>
  <c r="A55" i="1"/>
  <c r="C55" i="1" s="1"/>
  <c r="A61" i="3" l="1"/>
  <c r="C60" i="3"/>
  <c r="A56" i="1"/>
  <c r="C56" i="1" s="1"/>
  <c r="A62" i="3" l="1"/>
  <c r="C61" i="3"/>
  <c r="A57" i="1"/>
  <c r="C57" i="1" s="1"/>
  <c r="A63" i="3" l="1"/>
  <c r="C62" i="3"/>
  <c r="A58" i="1"/>
  <c r="C58" i="1" s="1"/>
  <c r="A64" i="3" l="1"/>
  <c r="C63" i="3"/>
  <c r="A59" i="1"/>
  <c r="C59" i="1" s="1"/>
  <c r="A65" i="3" l="1"/>
  <c r="C64" i="3"/>
  <c r="A60" i="1"/>
  <c r="C60" i="1" s="1"/>
  <c r="A66" i="3" l="1"/>
  <c r="C65" i="3"/>
  <c r="A61" i="1"/>
  <c r="C61" i="1" s="1"/>
  <c r="A67" i="3" l="1"/>
  <c r="C66" i="3"/>
  <c r="A62" i="1"/>
  <c r="C62" i="1" s="1"/>
  <c r="A68" i="3" l="1"/>
  <c r="C67" i="3"/>
  <c r="A63" i="1"/>
  <c r="C63" i="1" s="1"/>
  <c r="A69" i="3" l="1"/>
  <c r="C68" i="3"/>
  <c r="A64" i="1"/>
  <c r="C64" i="1" s="1"/>
  <c r="A70" i="3" l="1"/>
  <c r="C69" i="3"/>
  <c r="A65" i="1"/>
  <c r="C65" i="1" s="1"/>
  <c r="A71" i="3" l="1"/>
  <c r="C70" i="3"/>
  <c r="A66" i="1"/>
  <c r="C66" i="1" s="1"/>
  <c r="A72" i="3" l="1"/>
  <c r="C71" i="3"/>
  <c r="A67" i="1"/>
  <c r="C67" i="1" s="1"/>
  <c r="A73" i="3" l="1"/>
  <c r="C72" i="3"/>
  <c r="A68" i="1"/>
  <c r="C68" i="1" s="1"/>
  <c r="A74" i="3" l="1"/>
  <c r="C73" i="3"/>
  <c r="A69" i="1"/>
  <c r="C69" i="1" s="1"/>
  <c r="A75" i="3" l="1"/>
  <c r="C74" i="3"/>
  <c r="A70" i="1"/>
  <c r="C70" i="1" s="1"/>
  <c r="A76" i="3" l="1"/>
  <c r="C75" i="3"/>
  <c r="A71" i="1"/>
  <c r="C71" i="1" s="1"/>
  <c r="A77" i="3" l="1"/>
  <c r="C76" i="3"/>
  <c r="A72" i="1"/>
  <c r="C72" i="1" s="1"/>
  <c r="A78" i="3" l="1"/>
  <c r="C77" i="3"/>
  <c r="A73" i="1"/>
  <c r="C73" i="1" s="1"/>
  <c r="A79" i="3" l="1"/>
  <c r="C78" i="3"/>
  <c r="A74" i="1"/>
  <c r="C74" i="1" s="1"/>
  <c r="A80" i="3" l="1"/>
  <c r="A81" i="3" s="1"/>
  <c r="C79" i="3"/>
  <c r="A75" i="1"/>
  <c r="C75" i="1" s="1"/>
  <c r="C81" i="3" l="1"/>
  <c r="A82" i="3"/>
  <c r="A76" i="1"/>
  <c r="C76" i="1" s="1"/>
  <c r="A83" i="3" l="1"/>
  <c r="C82" i="3"/>
  <c r="A77" i="1"/>
  <c r="C77" i="1" s="1"/>
  <c r="C83" i="3" l="1"/>
  <c r="A84" i="3"/>
  <c r="A78" i="1"/>
  <c r="C78" i="1" s="1"/>
  <c r="C84" i="3" l="1"/>
  <c r="A85" i="3"/>
  <c r="A79" i="1"/>
  <c r="C79" i="1" s="1"/>
  <c r="C85" i="3" l="1"/>
  <c r="A86" i="3"/>
  <c r="A80" i="1"/>
  <c r="A87" i="3" l="1"/>
  <c r="C86" i="3"/>
  <c r="A81" i="1"/>
  <c r="C81" i="1" s="1"/>
  <c r="C87" i="3" l="1"/>
  <c r="A88" i="3"/>
  <c r="A82" i="1"/>
  <c r="C82" i="1" s="1"/>
  <c r="C88" i="3" l="1"/>
  <c r="A89" i="3"/>
  <c r="A83" i="1"/>
  <c r="C83" i="1" s="1"/>
  <c r="C89" i="3" l="1"/>
  <c r="A90" i="3"/>
  <c r="A84" i="1"/>
  <c r="C84" i="1" s="1"/>
  <c r="A91" i="3" l="1"/>
  <c r="C90" i="3"/>
  <c r="A85" i="1"/>
  <c r="C85" i="1" s="1"/>
  <c r="C91" i="3" l="1"/>
  <c r="A92" i="3"/>
  <c r="A86" i="1"/>
  <c r="C86" i="1" s="1"/>
  <c r="C92" i="3" l="1"/>
  <c r="A93" i="3"/>
  <c r="A87" i="1"/>
  <c r="C87" i="1" s="1"/>
  <c r="C93" i="3" l="1"/>
  <c r="A94" i="3"/>
  <c r="A88" i="1"/>
  <c r="C88" i="1" s="1"/>
  <c r="C94" i="3" l="1"/>
  <c r="A95" i="3"/>
  <c r="A89" i="1"/>
  <c r="C89" i="1" s="1"/>
  <c r="C95" i="3" l="1"/>
  <c r="A96" i="3"/>
  <c r="A90" i="1"/>
  <c r="C90" i="1" s="1"/>
  <c r="A97" i="3" l="1"/>
  <c r="C97" i="3" s="1"/>
  <c r="C96" i="3"/>
  <c r="F95" i="3"/>
  <c r="D91" i="3"/>
  <c r="F91" i="3" s="1"/>
  <c r="D93" i="3"/>
  <c r="F93" i="3" s="1"/>
  <c r="D90" i="3"/>
  <c r="F90" i="3" s="1"/>
  <c r="A91" i="1"/>
  <c r="C91" i="1" s="1"/>
  <c r="D96" i="3" l="1"/>
  <c r="F96" i="3" s="1"/>
  <c r="F94" i="3"/>
  <c r="D92" i="3"/>
  <c r="F92" i="3" s="1"/>
  <c r="F89" i="3"/>
  <c r="D97" i="3"/>
  <c r="F97" i="3" s="1"/>
  <c r="D6" i="3"/>
  <c r="D8" i="3"/>
  <c r="F8" i="3" s="1"/>
  <c r="D7" i="3"/>
  <c r="F7" i="3" s="1"/>
  <c r="D9" i="3"/>
  <c r="F9" i="3" s="1"/>
  <c r="D13" i="3"/>
  <c r="F13" i="3" s="1"/>
  <c r="D11" i="3"/>
  <c r="F11" i="3" s="1"/>
  <c r="D10" i="3"/>
  <c r="F10" i="3" s="1"/>
  <c r="D12" i="3"/>
  <c r="F12" i="3" s="1"/>
  <c r="D14" i="3"/>
  <c r="F14" i="3" s="1"/>
  <c r="D15" i="3"/>
  <c r="F15" i="3" s="1"/>
  <c r="D17" i="3"/>
  <c r="F17" i="3" s="1"/>
  <c r="D19" i="3"/>
  <c r="F19" i="3" s="1"/>
  <c r="D18" i="3"/>
  <c r="F18" i="3" s="1"/>
  <c r="D16" i="3"/>
  <c r="F16" i="3" s="1"/>
  <c r="D22" i="3"/>
  <c r="F22" i="3" s="1"/>
  <c r="D21" i="3"/>
  <c r="F21" i="3" s="1"/>
  <c r="D20" i="3"/>
  <c r="F20" i="3" s="1"/>
  <c r="D25" i="3"/>
  <c r="F25" i="3" s="1"/>
  <c r="D23" i="3"/>
  <c r="F23" i="3" s="1"/>
  <c r="D27" i="3"/>
  <c r="F27" i="3" s="1"/>
  <c r="D24" i="3"/>
  <c r="F24" i="3" s="1"/>
  <c r="D26" i="3"/>
  <c r="F26" i="3" s="1"/>
  <c r="D31" i="3"/>
  <c r="F31" i="3" s="1"/>
  <c r="D29" i="3"/>
  <c r="F29" i="3" s="1"/>
  <c r="D28" i="3"/>
  <c r="F28" i="3" s="1"/>
  <c r="D30" i="3"/>
  <c r="F30" i="3" s="1"/>
  <c r="D33" i="3"/>
  <c r="F33" i="3" s="1"/>
  <c r="D32" i="3"/>
  <c r="F32" i="3" s="1"/>
  <c r="D35" i="3"/>
  <c r="F35" i="3" s="1"/>
  <c r="D34" i="3"/>
  <c r="F34" i="3" s="1"/>
  <c r="D37" i="3"/>
  <c r="F37" i="3" s="1"/>
  <c r="D36" i="3"/>
  <c r="F36" i="3" s="1"/>
  <c r="D39" i="3"/>
  <c r="F39" i="3" s="1"/>
  <c r="D38" i="3"/>
  <c r="F38" i="3" s="1"/>
  <c r="D40" i="3"/>
  <c r="F40" i="3" s="1"/>
  <c r="D41" i="3"/>
  <c r="F41" i="3" s="1"/>
  <c r="D43" i="3"/>
  <c r="F43" i="3" s="1"/>
  <c r="D42" i="3"/>
  <c r="F42" i="3" s="1"/>
  <c r="D44" i="3"/>
  <c r="F44" i="3" s="1"/>
  <c r="D45" i="3"/>
  <c r="F45" i="3" s="1"/>
  <c r="D47" i="3"/>
  <c r="F47" i="3" s="1"/>
  <c r="D46" i="3"/>
  <c r="F46" i="3" s="1"/>
  <c r="D49" i="3"/>
  <c r="F49" i="3" s="1"/>
  <c r="D48" i="3"/>
  <c r="F48" i="3" s="1"/>
  <c r="D51" i="3"/>
  <c r="F51" i="3" s="1"/>
  <c r="D50" i="3"/>
  <c r="F50" i="3" s="1"/>
  <c r="D52" i="3"/>
  <c r="F52" i="3" s="1"/>
  <c r="D53" i="3"/>
  <c r="F53" i="3" s="1"/>
  <c r="D55" i="3"/>
  <c r="F55" i="3" s="1"/>
  <c r="D54" i="3"/>
  <c r="F54" i="3" s="1"/>
  <c r="D57" i="3"/>
  <c r="F57" i="3" s="1"/>
  <c r="D58" i="3"/>
  <c r="F58" i="3" s="1"/>
  <c r="D56" i="3"/>
  <c r="F56" i="3" s="1"/>
  <c r="D59" i="3"/>
  <c r="F59" i="3" s="1"/>
  <c r="D60" i="3"/>
  <c r="F60" i="3" s="1"/>
  <c r="D61" i="3"/>
  <c r="F61" i="3" s="1"/>
  <c r="D63" i="3"/>
  <c r="F63" i="3" s="1"/>
  <c r="D64" i="3"/>
  <c r="F64" i="3" s="1"/>
  <c r="D62" i="3"/>
  <c r="F62" i="3" s="1"/>
  <c r="D67" i="3"/>
  <c r="F67" i="3" s="1"/>
  <c r="D65" i="3"/>
  <c r="F65" i="3" s="1"/>
  <c r="D66" i="3"/>
  <c r="F66" i="3" s="1"/>
  <c r="D69" i="3"/>
  <c r="F69" i="3" s="1"/>
  <c r="D71" i="3"/>
  <c r="F71" i="3" s="1"/>
  <c r="D68" i="3"/>
  <c r="F68" i="3" s="1"/>
  <c r="D70" i="3"/>
  <c r="F70" i="3" s="1"/>
  <c r="D72" i="3"/>
  <c r="F72" i="3" s="1"/>
  <c r="D74" i="3"/>
  <c r="F74" i="3" s="1"/>
  <c r="D73" i="3"/>
  <c r="F73" i="3" s="1"/>
  <c r="D75" i="3"/>
  <c r="F75" i="3" s="1"/>
  <c r="D76" i="3"/>
  <c r="F76" i="3" s="1"/>
  <c r="D77" i="3"/>
  <c r="F77" i="3" s="1"/>
  <c r="D79" i="3"/>
  <c r="F79" i="3" s="1"/>
  <c r="D78" i="3"/>
  <c r="F78" i="3" s="1"/>
  <c r="D82" i="3"/>
  <c r="F82" i="3" s="1"/>
  <c r="D81" i="3"/>
  <c r="F81" i="3" s="1"/>
  <c r="D86" i="3"/>
  <c r="F86" i="3" s="1"/>
  <c r="F83" i="3"/>
  <c r="F84" i="3"/>
  <c r="D85" i="3"/>
  <c r="F85" i="3" s="1"/>
  <c r="D87" i="3"/>
  <c r="F87" i="3" s="1"/>
  <c r="F88" i="3"/>
  <c r="A92" i="1"/>
  <c r="C92" i="1" s="1"/>
  <c r="F6" i="3" l="1"/>
  <c r="N6" i="3"/>
  <c r="A93" i="1"/>
  <c r="C93" i="1" s="1"/>
  <c r="A94" i="1" l="1"/>
  <c r="C94" i="1" s="1"/>
  <c r="A95" i="1" l="1"/>
  <c r="C95" i="1" s="1"/>
  <c r="A96" i="1" l="1"/>
  <c r="C96" i="1" s="1"/>
  <c r="A97" i="1" l="1"/>
  <c r="C97" i="1" s="1"/>
  <c r="F7" i="1" l="1"/>
  <c r="F8" i="1"/>
  <c r="F11" i="1"/>
  <c r="F15" i="1"/>
  <c r="F14" i="1"/>
  <c r="F19" i="1"/>
  <c r="F20" i="1"/>
  <c r="F18" i="1"/>
  <c r="F24" i="1"/>
  <c r="F23" i="1"/>
  <c r="F28" i="1"/>
  <c r="F27" i="1"/>
  <c r="F31" i="1"/>
  <c r="F35" i="1"/>
  <c r="F36" i="1"/>
  <c r="F38" i="1"/>
  <c r="F41" i="1"/>
  <c r="F42" i="1"/>
  <c r="F45" i="1"/>
  <c r="F49" i="1"/>
  <c r="F48" i="1"/>
  <c r="F50" i="1"/>
  <c r="F52" i="1"/>
  <c r="F54" i="1"/>
  <c r="F56" i="1"/>
  <c r="F57" i="1"/>
  <c r="F59" i="1"/>
  <c r="F64" i="1"/>
  <c r="F62" i="1"/>
  <c r="F68" i="1"/>
  <c r="F69" i="1"/>
  <c r="F70" i="1"/>
  <c r="F74" i="1"/>
  <c r="F75" i="1"/>
  <c r="F76" i="1"/>
  <c r="F82" i="1"/>
  <c r="F85" i="1"/>
  <c r="F86" i="1"/>
  <c r="F88" i="1"/>
  <c r="F92" i="1"/>
  <c r="F95" i="1"/>
  <c r="F93" i="1"/>
  <c r="F94" i="1"/>
  <c r="F96" i="1"/>
  <c r="F89" i="1"/>
  <c r="F90" i="1"/>
  <c r="F97" i="1"/>
  <c r="F6" i="1"/>
  <c r="F9" i="1"/>
  <c r="F10" i="1"/>
  <c r="F12" i="1"/>
  <c r="F13" i="1"/>
  <c r="F16" i="1"/>
  <c r="F17" i="1"/>
  <c r="F22" i="1"/>
  <c r="F21" i="1"/>
  <c r="F25" i="1"/>
  <c r="F26" i="1"/>
  <c r="F29" i="1"/>
  <c r="F33" i="1"/>
  <c r="F30" i="1"/>
  <c r="F32" i="1"/>
  <c r="F34" i="1"/>
  <c r="F37" i="1"/>
  <c r="F39" i="1"/>
  <c r="F40" i="1"/>
  <c r="F43" i="1"/>
  <c r="F44" i="1"/>
  <c r="F46" i="1"/>
  <c r="F47" i="1"/>
  <c r="F51" i="1"/>
  <c r="F53" i="1"/>
  <c r="F55" i="1"/>
  <c r="F58" i="1"/>
  <c r="F60" i="1"/>
  <c r="F61" i="1"/>
  <c r="F63" i="1"/>
  <c r="F65" i="1"/>
  <c r="F67" i="1"/>
  <c r="F66" i="1"/>
  <c r="F71" i="1"/>
  <c r="F73" i="1"/>
  <c r="F72" i="1"/>
  <c r="F77" i="1"/>
  <c r="F78" i="1"/>
  <c r="F81" i="1"/>
  <c r="F80" i="1"/>
  <c r="F79" i="1"/>
  <c r="F83" i="1"/>
  <c r="F84" i="1"/>
  <c r="F87" i="1"/>
  <c r="F91" i="1"/>
</calcChain>
</file>

<file path=xl/sharedStrings.xml><?xml version="1.0" encoding="utf-8"?>
<sst xmlns="http://schemas.openxmlformats.org/spreadsheetml/2006/main" count="226" uniqueCount="27">
  <si>
    <t>Deposit</t>
  </si>
  <si>
    <t>Sr No</t>
  </si>
  <si>
    <t>Remarks</t>
  </si>
  <si>
    <t>Difference</t>
  </si>
  <si>
    <t>Reflecting in DAO Dashboard</t>
  </si>
  <si>
    <t>Inflow</t>
  </si>
  <si>
    <t>Outflow</t>
  </si>
  <si>
    <t>Intant Cashback</t>
  </si>
  <si>
    <t xml:space="preserve">Actual Inflow </t>
  </si>
  <si>
    <t>Details</t>
  </si>
  <si>
    <t>Actual Distribution for 87 DAO seats</t>
  </si>
  <si>
    <t>This is distributed among TOP 11 DAOs no cashback and not received share from 76th seat new redeposit as of condition as it was same underfunded address who made redeposit.</t>
  </si>
  <si>
    <t>He got cashback bcoz this is new user placed on 76th seat (Inflow now updated started from zero) and distribution given amoung all 86 active DAOs.</t>
  </si>
  <si>
    <t>Re-topup made, Received share from 12# seat and 76# seat.</t>
  </si>
  <si>
    <t>All real flows and Received share from 12# seat and 76# seat.</t>
  </si>
  <si>
    <t>All real flows and Received share from 76# seat.</t>
  </si>
  <si>
    <t>Vacant Yet</t>
  </si>
  <si>
    <t>Total Deposits</t>
  </si>
  <si>
    <t>Total Inflow</t>
  </si>
  <si>
    <t>Description</t>
  </si>
  <si>
    <t>Reconciliation of Flows</t>
  </si>
  <si>
    <t>AS per Deposit (IDs)</t>
  </si>
  <si>
    <t>As per Real Distribution</t>
  </si>
  <si>
    <t>This difference is bcoz of Vacancy happended and amount earned by them no reset to zero.</t>
  </si>
  <si>
    <t>Okay (In transactions page these amount should show)</t>
  </si>
  <si>
    <t>-</t>
  </si>
  <si>
    <t xml:space="preserve">Additional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</si>
</sst>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/>
    </xf>
    <xf numFmtId="44" fontId="0" fillId="2" borderId="1" xfId="2" applyNumberFormat="1" applyFont="1" applyFill="1" applyBorder="1" applyAlignment="1">
      <alignment vertical="center"/>
    </xf>
    <xf numFmtId="44" fontId="0" fillId="2" borderId="1" xfId="2" applyFont="1" applyFill="1" applyBorder="1" applyAlignment="1">
      <alignment horizontal="center"/>
    </xf>
    <xf numFmtId="44" fontId="0" fillId="2" borderId="1" xfId="2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44" fontId="0" fillId="0" borderId="1" xfId="2" applyFont="1" applyFill="1" applyBorder="1"/>
    <xf numFmtId="44" fontId="0" fillId="4" borderId="1" xfId="2" applyNumberFormat="1" applyFont="1" applyFill="1" applyBorder="1" applyAlignment="1">
      <alignment vertical="center"/>
    </xf>
    <xf numFmtId="0" fontId="0" fillId="3" borderId="1" xfId="0" applyFill="1" applyBorder="1"/>
    <xf numFmtId="44" fontId="0" fillId="0" borderId="1" xfId="0" applyNumberFormat="1" applyFill="1" applyBorder="1"/>
    <xf numFmtId="0" fontId="0" fillId="2" borderId="1" xfId="0" applyFill="1" applyBorder="1"/>
    <xf numFmtId="44" fontId="0" fillId="2" borderId="1" xfId="0" applyNumberFormat="1" applyFill="1" applyBorder="1"/>
    <xf numFmtId="44" fontId="0" fillId="5" borderId="1" xfId="2" applyNumberFormat="1" applyFont="1" applyFill="1" applyBorder="1" applyAlignment="1">
      <alignment vertical="center"/>
    </xf>
    <xf numFmtId="44" fontId="0" fillId="6" borderId="1" xfId="0" applyNumberFormat="1" applyFill="1" applyBorder="1"/>
    <xf numFmtId="0" fontId="3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44" fontId="0" fillId="5" borderId="1" xfId="2" applyFont="1" applyFill="1" applyBorder="1" applyAlignment="1">
      <alignment horizontal="center" vertical="center"/>
    </xf>
    <xf numFmtId="44" fontId="0" fillId="5" borderId="1" xfId="2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44" fontId="0" fillId="5" borderId="1" xfId="0" applyNumberFormat="1" applyFill="1" applyBorder="1" applyAlignment="1">
      <alignment vertical="center"/>
    </xf>
    <xf numFmtId="0" fontId="0" fillId="0" borderId="1" xfId="0" applyBorder="1"/>
    <xf numFmtId="44" fontId="0" fillId="0" borderId="1" xfId="0" applyNumberFormat="1" applyBorder="1"/>
    <xf numFmtId="0" fontId="4" fillId="5" borderId="1" xfId="3" applyFill="1" applyBorder="1" applyAlignment="1">
      <alignment wrapText="1"/>
    </xf>
    <xf numFmtId="165" fontId="4" fillId="5" borderId="1" xfId="3" applyNumberForma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44" fontId="0" fillId="0" borderId="1" xfId="2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4" fontId="0" fillId="3" borderId="1" xfId="2" applyFont="1" applyFill="1" applyBorder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robchain.com/blockchain/transaction/ead34e628719ee4c354092383c66f55ff198b8a82ada553def9c5fb03e2233d5" TargetMode="External"/><Relationship Id="rId1" Type="http://schemas.openxmlformats.org/officeDocument/2006/relationships/hyperlink" Target="https://trobchain.com/blockchain/transaction/6699330082dba22dfbc35439865b68c42b6f376b00416c4c9c27ebf8a98d8d2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trobchain.com/blockchain/transaction/ead34e628719ee4c354092383c66f55ff198b8a82ada553def9c5fb03e2233d5" TargetMode="External"/><Relationship Id="rId1" Type="http://schemas.openxmlformats.org/officeDocument/2006/relationships/hyperlink" Target="https://trobchain.com/blockchain/transaction/6699330082dba22dfbc35439865b68c42b6f376b00416c4c9c27ebf8a98d8d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4"/>
  <sheetViews>
    <sheetView topLeftCell="A80" workbookViewId="0">
      <selection activeCell="A2" sqref="A2:J97"/>
    </sheetView>
  </sheetViews>
  <sheetFormatPr defaultRowHeight="14.5" x14ac:dyDescent="0.35"/>
  <cols>
    <col min="1" max="1" width="9.81640625" bestFit="1" customWidth="1"/>
    <col min="4" max="4" width="10.08984375" customWidth="1"/>
    <col min="5" max="5" width="13.36328125" customWidth="1"/>
    <col min="6" max="6" width="11.54296875" customWidth="1"/>
    <col min="7" max="7" width="13.81640625" bestFit="1" customWidth="1"/>
    <col min="8" max="8" width="52.36328125" customWidth="1"/>
    <col min="10" max="10" width="10.08984375" bestFit="1" customWidth="1"/>
    <col min="12" max="12" width="20.54296875" bestFit="1" customWidth="1"/>
    <col min="13" max="13" width="11.1796875" bestFit="1" customWidth="1"/>
    <col min="14" max="14" width="11.08984375" bestFit="1" customWidth="1"/>
  </cols>
  <sheetData>
    <row r="2" spans="1:14" x14ac:dyDescent="0.35">
      <c r="A2" s="22" t="s">
        <v>10</v>
      </c>
      <c r="B2" s="22"/>
      <c r="C2" s="22"/>
      <c r="D2" s="22"/>
      <c r="E2" s="22"/>
      <c r="F2" s="22"/>
      <c r="G2" s="22"/>
      <c r="H2" s="22"/>
      <c r="I2" s="22"/>
      <c r="J2" s="22"/>
      <c r="L2" s="22" t="s">
        <v>20</v>
      </c>
      <c r="M2" s="22"/>
      <c r="N2" s="22"/>
    </row>
    <row r="4" spans="1:14" ht="42.5" customHeight="1" x14ac:dyDescent="0.35">
      <c r="A4" s="8" t="s">
        <v>1</v>
      </c>
      <c r="B4" s="8" t="s">
        <v>0</v>
      </c>
      <c r="C4" s="8" t="s">
        <v>7</v>
      </c>
      <c r="D4" s="8" t="s">
        <v>8</v>
      </c>
      <c r="E4" s="8" t="s">
        <v>4</v>
      </c>
      <c r="F4" s="8" t="s">
        <v>3</v>
      </c>
      <c r="G4" s="8" t="s">
        <v>9</v>
      </c>
      <c r="H4" s="8" t="s">
        <v>2</v>
      </c>
      <c r="I4" s="8" t="s">
        <v>17</v>
      </c>
      <c r="J4" s="8" t="s">
        <v>18</v>
      </c>
      <c r="L4" s="8" t="s">
        <v>19</v>
      </c>
      <c r="M4" s="8" t="s">
        <v>5</v>
      </c>
      <c r="N4" s="8" t="s">
        <v>6</v>
      </c>
    </row>
    <row r="5" spans="1:14" x14ac:dyDescent="0.35">
      <c r="A5" s="9">
        <v>1</v>
      </c>
      <c r="B5" s="10">
        <v>300</v>
      </c>
      <c r="C5" s="11">
        <f>(B5/85)</f>
        <v>3.5294117647058822</v>
      </c>
      <c r="D5" s="15">
        <f>C5+$G$16+$G$80</f>
        <v>34.290511130456416</v>
      </c>
      <c r="E5" s="16"/>
      <c r="F5" s="17">
        <f>E5-D5</f>
        <v>-34.290511130456416</v>
      </c>
      <c r="G5" s="29">
        <f>B5/85</f>
        <v>3.5294117647058822</v>
      </c>
      <c r="H5" s="28" t="s">
        <v>13</v>
      </c>
      <c r="I5" s="21">
        <f>B5*2</f>
        <v>600</v>
      </c>
      <c r="J5" s="21">
        <f>1500+D5</f>
        <v>1534.2905111304565</v>
      </c>
      <c r="L5" s="28" t="s">
        <v>21</v>
      </c>
      <c r="M5" s="34">
        <f>(87*300)+1*300</f>
        <v>26400</v>
      </c>
      <c r="N5" s="34">
        <f>(87*300)+1*300</f>
        <v>26400</v>
      </c>
    </row>
    <row r="6" spans="1:14" x14ac:dyDescent="0.35">
      <c r="A6" s="12">
        <f>A5+1</f>
        <v>2</v>
      </c>
      <c r="B6" s="13">
        <v>300</v>
      </c>
      <c r="C6" s="14">
        <f>B6/A6</f>
        <v>150</v>
      </c>
      <c r="D6" s="15">
        <f>SUM(C6:C97)+$G$16+$G$5</f>
        <v>1218.6193575568909</v>
      </c>
      <c r="E6" s="16"/>
      <c r="F6" s="17">
        <f t="shared" ref="F6:F69" si="0">E6-D6</f>
        <v>-1218.6193575568909</v>
      </c>
      <c r="G6" s="28"/>
      <c r="H6" s="28" t="s">
        <v>14</v>
      </c>
      <c r="I6" s="29"/>
      <c r="J6" s="28"/>
      <c r="L6" s="28" t="s">
        <v>22</v>
      </c>
      <c r="M6" s="29">
        <f>I5+SUM(B6:B97)</f>
        <v>26400</v>
      </c>
      <c r="N6" s="29">
        <f>J5+SUM(D6:D97)</f>
        <v>26376.748996313047</v>
      </c>
    </row>
    <row r="7" spans="1:14" x14ac:dyDescent="0.35">
      <c r="A7" s="12">
        <f>A6+1</f>
        <v>3</v>
      </c>
      <c r="B7" s="13">
        <v>300</v>
      </c>
      <c r="C7" s="14">
        <f>B7/A7</f>
        <v>100</v>
      </c>
      <c r="D7" s="15">
        <f>SUM(C7:C98)+$G$16+$G$5</f>
        <v>1068.6193575568909</v>
      </c>
      <c r="E7" s="16"/>
      <c r="F7" s="17">
        <f t="shared" si="0"/>
        <v>-1068.6193575568909</v>
      </c>
      <c r="G7" s="28"/>
      <c r="H7" s="28" t="s">
        <v>14</v>
      </c>
      <c r="I7" s="28"/>
      <c r="J7" s="28"/>
      <c r="L7" s="28"/>
      <c r="M7" s="28"/>
      <c r="N7" s="28"/>
    </row>
    <row r="8" spans="1:14" ht="15" thickBot="1" x14ac:dyDescent="0.4">
      <c r="A8" s="12">
        <f t="shared" ref="A8:A71" si="1">A7+1</f>
        <v>4</v>
      </c>
      <c r="B8" s="13">
        <v>300</v>
      </c>
      <c r="C8" s="14">
        <f>B8/A8</f>
        <v>75</v>
      </c>
      <c r="D8" s="15">
        <f>SUM(C8:C99)+$G$16+$G$5</f>
        <v>968.6193575568908</v>
      </c>
      <c r="E8" s="16"/>
      <c r="F8" s="17">
        <f t="shared" si="0"/>
        <v>-968.6193575568908</v>
      </c>
      <c r="G8" s="28"/>
      <c r="H8" s="28" t="s">
        <v>14</v>
      </c>
      <c r="I8" s="28"/>
      <c r="J8" s="28"/>
      <c r="L8" s="32" t="s">
        <v>3</v>
      </c>
      <c r="M8" s="33">
        <f>M5-M6</f>
        <v>0</v>
      </c>
      <c r="N8" s="33">
        <f>N5-N6</f>
        <v>23.251003686953482</v>
      </c>
    </row>
    <row r="9" spans="1:14" ht="15" thickTop="1" x14ac:dyDescent="0.35">
      <c r="A9" s="12">
        <f t="shared" si="1"/>
        <v>5</v>
      </c>
      <c r="B9" s="13">
        <v>300</v>
      </c>
      <c r="C9" s="14">
        <f>B9/A9</f>
        <v>60</v>
      </c>
      <c r="D9" s="15">
        <f>SUM(C9:C100)+$G$16+$G$5</f>
        <v>893.61935755689069</v>
      </c>
      <c r="E9" s="16"/>
      <c r="F9" s="17">
        <f t="shared" si="0"/>
        <v>-893.61935755689069</v>
      </c>
      <c r="G9" s="28"/>
      <c r="H9" s="28" t="s">
        <v>14</v>
      </c>
      <c r="I9" s="28"/>
      <c r="J9" s="28"/>
    </row>
    <row r="10" spans="1:14" x14ac:dyDescent="0.35">
      <c r="A10" s="12">
        <f t="shared" si="1"/>
        <v>6</v>
      </c>
      <c r="B10" s="13">
        <v>300</v>
      </c>
      <c r="C10" s="14">
        <f t="shared" ref="C6:C18" si="2">B10/A10</f>
        <v>50</v>
      </c>
      <c r="D10" s="15">
        <f>SUM(C10:C101)+$G$16+$G$5</f>
        <v>833.6193575568908</v>
      </c>
      <c r="E10" s="16"/>
      <c r="F10" s="17">
        <f t="shared" si="0"/>
        <v>-833.6193575568908</v>
      </c>
      <c r="G10" s="28"/>
      <c r="H10" s="28" t="s">
        <v>14</v>
      </c>
      <c r="I10" s="28"/>
      <c r="J10" s="28"/>
    </row>
    <row r="11" spans="1:14" x14ac:dyDescent="0.35">
      <c r="A11" s="12">
        <f t="shared" si="1"/>
        <v>7</v>
      </c>
      <c r="B11" s="13">
        <v>300</v>
      </c>
      <c r="C11" s="14">
        <f t="shared" si="2"/>
        <v>42.857142857142854</v>
      </c>
      <c r="D11" s="15">
        <f>SUM(C11:C102)+$G$16+$G$5</f>
        <v>783.61935755689058</v>
      </c>
      <c r="E11" s="16"/>
      <c r="F11" s="17">
        <f t="shared" si="0"/>
        <v>-783.61935755689058</v>
      </c>
      <c r="G11" s="28"/>
      <c r="H11" s="28" t="s">
        <v>14</v>
      </c>
      <c r="I11" s="28"/>
      <c r="J11" s="28"/>
    </row>
    <row r="12" spans="1:14" x14ac:dyDescent="0.35">
      <c r="A12" s="12">
        <f t="shared" si="1"/>
        <v>8</v>
      </c>
      <c r="B12" s="13">
        <v>300</v>
      </c>
      <c r="C12" s="14">
        <f t="shared" si="2"/>
        <v>37.5</v>
      </c>
      <c r="D12" s="15">
        <f>SUM(C12:C103)+$G$16+$G$5</f>
        <v>740.76221469974769</v>
      </c>
      <c r="E12" s="16"/>
      <c r="F12" s="17">
        <f t="shared" si="0"/>
        <v>-740.76221469974769</v>
      </c>
      <c r="G12" s="28"/>
      <c r="H12" s="28" t="s">
        <v>14</v>
      </c>
      <c r="I12" s="28"/>
      <c r="J12" s="28"/>
    </row>
    <row r="13" spans="1:14" x14ac:dyDescent="0.35">
      <c r="A13" s="12">
        <f t="shared" si="1"/>
        <v>9</v>
      </c>
      <c r="B13" s="13">
        <v>300</v>
      </c>
      <c r="C13" s="14">
        <f t="shared" si="2"/>
        <v>33.333333333333336</v>
      </c>
      <c r="D13" s="15">
        <f>SUM(C13:C104)+$G$16+$G$5</f>
        <v>703.2622146997478</v>
      </c>
      <c r="E13" s="16"/>
      <c r="F13" s="17">
        <f t="shared" si="0"/>
        <v>-703.2622146997478</v>
      </c>
      <c r="G13" s="28"/>
      <c r="H13" s="28" t="s">
        <v>14</v>
      </c>
      <c r="I13" s="28"/>
      <c r="J13" s="28"/>
    </row>
    <row r="14" spans="1:14" x14ac:dyDescent="0.35">
      <c r="A14" s="12">
        <f t="shared" si="1"/>
        <v>10</v>
      </c>
      <c r="B14" s="13">
        <v>300</v>
      </c>
      <c r="C14" s="14">
        <f t="shared" si="2"/>
        <v>30</v>
      </c>
      <c r="D14" s="15">
        <f>SUM(C14:C105)+$G$16+$G$5</f>
        <v>669.92888136641443</v>
      </c>
      <c r="E14" s="16"/>
      <c r="F14" s="17">
        <f t="shared" si="0"/>
        <v>-669.92888136641443</v>
      </c>
      <c r="G14" s="28"/>
      <c r="H14" s="28" t="s">
        <v>14</v>
      </c>
      <c r="I14" s="28"/>
      <c r="J14" s="28"/>
    </row>
    <row r="15" spans="1:14" x14ac:dyDescent="0.35">
      <c r="A15" s="12">
        <f t="shared" si="1"/>
        <v>11</v>
      </c>
      <c r="B15" s="13">
        <v>300</v>
      </c>
      <c r="C15" s="14">
        <f>B15/A15</f>
        <v>27.272727272727273</v>
      </c>
      <c r="D15" s="15">
        <f>SUM(C15:C106)+$G$16+$G$5</f>
        <v>639.9288813664142</v>
      </c>
      <c r="E15" s="16"/>
      <c r="F15" s="17">
        <f t="shared" si="0"/>
        <v>-639.9288813664142</v>
      </c>
      <c r="G15" s="28"/>
      <c r="H15" s="28" t="s">
        <v>14</v>
      </c>
      <c r="I15" s="28"/>
      <c r="J15" s="28"/>
    </row>
    <row r="16" spans="1:14" ht="43.5" x14ac:dyDescent="0.35">
      <c r="A16" s="23">
        <f t="shared" si="1"/>
        <v>12</v>
      </c>
      <c r="B16" s="24">
        <v>300</v>
      </c>
      <c r="C16" s="25">
        <v>0</v>
      </c>
      <c r="D16" s="20">
        <f>SUM(C16:C107)-G80</f>
        <v>578.3656429632307</v>
      </c>
      <c r="E16" s="26"/>
      <c r="F16" s="27">
        <f t="shared" si="0"/>
        <v>-578.3656429632307</v>
      </c>
      <c r="G16" s="25">
        <f>B16/11</f>
        <v>27.272727272727273</v>
      </c>
      <c r="H16" s="31" t="s">
        <v>11</v>
      </c>
      <c r="I16" s="28"/>
      <c r="J16" s="28"/>
    </row>
    <row r="17" spans="1:10" x14ac:dyDescent="0.35">
      <c r="A17" s="12">
        <f t="shared" si="1"/>
        <v>13</v>
      </c>
      <c r="B17" s="13">
        <v>300</v>
      </c>
      <c r="C17" s="14">
        <f>B17/A17</f>
        <v>23.076923076923077</v>
      </c>
      <c r="D17" s="15">
        <f>SUM(C17:C108)+$G$5</f>
        <v>585.38342682095981</v>
      </c>
      <c r="E17" s="16"/>
      <c r="F17" s="17">
        <f t="shared" si="0"/>
        <v>-585.38342682095981</v>
      </c>
      <c r="G17" s="28"/>
      <c r="H17" s="28" t="s">
        <v>15</v>
      </c>
      <c r="I17" s="28"/>
      <c r="J17" s="28"/>
    </row>
    <row r="18" spans="1:10" x14ac:dyDescent="0.35">
      <c r="A18" s="12">
        <f t="shared" si="1"/>
        <v>14</v>
      </c>
      <c r="B18" s="13">
        <v>300</v>
      </c>
      <c r="C18" s="14">
        <f>B18/A18</f>
        <v>21.428571428571427</v>
      </c>
      <c r="D18" s="15">
        <f>SUM(C18:C109)+$G$5</f>
        <v>562.3065037440366</v>
      </c>
      <c r="E18" s="16"/>
      <c r="F18" s="17">
        <f t="shared" si="0"/>
        <v>-562.3065037440366</v>
      </c>
      <c r="G18" s="28"/>
      <c r="H18" s="28" t="s">
        <v>15</v>
      </c>
      <c r="I18" s="28"/>
      <c r="J18" s="28"/>
    </row>
    <row r="19" spans="1:10" x14ac:dyDescent="0.35">
      <c r="A19" s="12">
        <f t="shared" si="1"/>
        <v>15</v>
      </c>
      <c r="B19" s="13">
        <v>300</v>
      </c>
      <c r="C19" s="14">
        <f>B19/A19</f>
        <v>20</v>
      </c>
      <c r="D19" s="15">
        <f>SUM(C19:C110)+$G$5</f>
        <v>540.87793231546539</v>
      </c>
      <c r="E19" s="16"/>
      <c r="F19" s="17">
        <f t="shared" si="0"/>
        <v>-540.87793231546539</v>
      </c>
      <c r="G19" s="28"/>
      <c r="H19" s="28" t="s">
        <v>15</v>
      </c>
      <c r="I19" s="28"/>
      <c r="J19" s="28"/>
    </row>
    <row r="20" spans="1:10" x14ac:dyDescent="0.35">
      <c r="A20" s="12">
        <f t="shared" si="1"/>
        <v>16</v>
      </c>
      <c r="B20" s="13">
        <v>300</v>
      </c>
      <c r="C20" s="14">
        <f>B20/A20</f>
        <v>18.75</v>
      </c>
      <c r="D20" s="15">
        <f>SUM(C20:C111)+$G$5</f>
        <v>520.87793231546539</v>
      </c>
      <c r="E20" s="16"/>
      <c r="F20" s="17">
        <f t="shared" si="0"/>
        <v>-520.87793231546539</v>
      </c>
      <c r="G20" s="28"/>
      <c r="H20" s="28" t="s">
        <v>15</v>
      </c>
      <c r="I20" s="28"/>
      <c r="J20" s="28"/>
    </row>
    <row r="21" spans="1:10" x14ac:dyDescent="0.35">
      <c r="A21" s="12">
        <f t="shared" si="1"/>
        <v>17</v>
      </c>
      <c r="B21" s="13">
        <v>300</v>
      </c>
      <c r="C21" s="14">
        <f>B21/A21</f>
        <v>17.647058823529413</v>
      </c>
      <c r="D21" s="15">
        <f>SUM(C21:C112)+$G$5</f>
        <v>502.12793231546539</v>
      </c>
      <c r="E21" s="16"/>
      <c r="F21" s="17">
        <f t="shared" si="0"/>
        <v>-502.12793231546539</v>
      </c>
      <c r="G21" s="28"/>
      <c r="H21" s="28" t="s">
        <v>15</v>
      </c>
      <c r="I21" s="28"/>
      <c r="J21" s="28"/>
    </row>
    <row r="22" spans="1:10" x14ac:dyDescent="0.35">
      <c r="A22" s="12">
        <f t="shared" si="1"/>
        <v>18</v>
      </c>
      <c r="B22" s="13">
        <v>300</v>
      </c>
      <c r="C22" s="14">
        <f>B22/A22</f>
        <v>16.666666666666668</v>
      </c>
      <c r="D22" s="15">
        <f>SUM(C22:C113)+$G$5</f>
        <v>484.48087349193594</v>
      </c>
      <c r="E22" s="16"/>
      <c r="F22" s="17">
        <f t="shared" si="0"/>
        <v>-484.48087349193594</v>
      </c>
      <c r="G22" s="28"/>
      <c r="H22" s="28" t="s">
        <v>15</v>
      </c>
      <c r="I22" s="28"/>
      <c r="J22" s="28"/>
    </row>
    <row r="23" spans="1:10" x14ac:dyDescent="0.35">
      <c r="A23" s="12">
        <f t="shared" si="1"/>
        <v>19</v>
      </c>
      <c r="B23" s="13">
        <v>300</v>
      </c>
      <c r="C23" s="14">
        <f>B23/A23</f>
        <v>15.789473684210526</v>
      </c>
      <c r="D23" s="15">
        <f>SUM(C23:C114)+$G$5</f>
        <v>467.8142068252692</v>
      </c>
      <c r="E23" s="16"/>
      <c r="F23" s="17">
        <f t="shared" si="0"/>
        <v>-467.8142068252692</v>
      </c>
      <c r="G23" s="28"/>
      <c r="H23" s="28" t="s">
        <v>15</v>
      </c>
      <c r="I23" s="28"/>
      <c r="J23" s="28"/>
    </row>
    <row r="24" spans="1:10" x14ac:dyDescent="0.35">
      <c r="A24" s="12">
        <f t="shared" si="1"/>
        <v>20</v>
      </c>
      <c r="B24" s="13">
        <v>300</v>
      </c>
      <c r="C24" s="14">
        <f>B24/A24</f>
        <v>15</v>
      </c>
      <c r="D24" s="15">
        <f>SUM(C24:C115)+$G$5</f>
        <v>452.02473314105868</v>
      </c>
      <c r="E24" s="16"/>
      <c r="F24" s="17">
        <f t="shared" si="0"/>
        <v>-452.02473314105868</v>
      </c>
      <c r="G24" s="28"/>
      <c r="H24" s="28" t="s">
        <v>15</v>
      </c>
      <c r="I24" s="28"/>
      <c r="J24" s="28"/>
    </row>
    <row r="25" spans="1:10" x14ac:dyDescent="0.35">
      <c r="A25" s="12">
        <f t="shared" si="1"/>
        <v>21</v>
      </c>
      <c r="B25" s="13">
        <v>300</v>
      </c>
      <c r="C25" s="14">
        <f>B25/A25</f>
        <v>14.285714285714286</v>
      </c>
      <c r="D25" s="15">
        <f>SUM(C25:C116)+$G$5</f>
        <v>437.02473314105862</v>
      </c>
      <c r="E25" s="16"/>
      <c r="F25" s="17">
        <f t="shared" si="0"/>
        <v>-437.02473314105862</v>
      </c>
      <c r="G25" s="28"/>
      <c r="H25" s="28" t="s">
        <v>15</v>
      </c>
      <c r="I25" s="28"/>
      <c r="J25" s="28"/>
    </row>
    <row r="26" spans="1:10" x14ac:dyDescent="0.35">
      <c r="A26" s="12">
        <f t="shared" si="1"/>
        <v>22</v>
      </c>
      <c r="B26" s="13">
        <v>300</v>
      </c>
      <c r="C26" s="14">
        <f>B26/A26</f>
        <v>13.636363636363637</v>
      </c>
      <c r="D26" s="15">
        <f>SUM(C26:C117)+$G$5</f>
        <v>422.73901885534434</v>
      </c>
      <c r="E26" s="16"/>
      <c r="F26" s="17">
        <f t="shared" si="0"/>
        <v>-422.73901885534434</v>
      </c>
      <c r="G26" s="28"/>
      <c r="H26" s="28" t="s">
        <v>15</v>
      </c>
      <c r="I26" s="28"/>
      <c r="J26" s="28"/>
    </row>
    <row r="27" spans="1:10" x14ac:dyDescent="0.35">
      <c r="A27" s="12">
        <f t="shared" si="1"/>
        <v>23</v>
      </c>
      <c r="B27" s="13">
        <v>300</v>
      </c>
      <c r="C27" s="14">
        <f>B27/A27</f>
        <v>13.043478260869565</v>
      </c>
      <c r="D27" s="15">
        <f>SUM(C27:C118)+$G$5</f>
        <v>409.10265521898071</v>
      </c>
      <c r="E27" s="16"/>
      <c r="F27" s="17">
        <f t="shared" si="0"/>
        <v>-409.10265521898071</v>
      </c>
      <c r="G27" s="28"/>
      <c r="H27" s="28" t="s">
        <v>15</v>
      </c>
      <c r="I27" s="28"/>
      <c r="J27" s="28"/>
    </row>
    <row r="28" spans="1:10" x14ac:dyDescent="0.35">
      <c r="A28" s="12">
        <f t="shared" si="1"/>
        <v>24</v>
      </c>
      <c r="B28" s="13">
        <v>300</v>
      </c>
      <c r="C28" s="14">
        <f>B28/A28</f>
        <v>12.5</v>
      </c>
      <c r="D28" s="15">
        <f>SUM(C28:C119)+$G$5</f>
        <v>396.05917695811115</v>
      </c>
      <c r="E28" s="16"/>
      <c r="F28" s="17">
        <f t="shared" si="0"/>
        <v>-396.05917695811115</v>
      </c>
      <c r="G28" s="28"/>
      <c r="H28" s="28" t="s">
        <v>15</v>
      </c>
      <c r="I28" s="28"/>
      <c r="J28" s="28"/>
    </row>
    <row r="29" spans="1:10" x14ac:dyDescent="0.35">
      <c r="A29" s="12">
        <f t="shared" si="1"/>
        <v>25</v>
      </c>
      <c r="B29" s="13">
        <v>300</v>
      </c>
      <c r="C29" s="14">
        <f>B29/A29</f>
        <v>12</v>
      </c>
      <c r="D29" s="15">
        <f>SUM(C29:C120)+$G$5</f>
        <v>383.55917695811127</v>
      </c>
      <c r="E29" s="16"/>
      <c r="F29" s="17">
        <f t="shared" si="0"/>
        <v>-383.55917695811127</v>
      </c>
      <c r="G29" s="28"/>
      <c r="H29" s="28" t="s">
        <v>15</v>
      </c>
      <c r="I29" s="28"/>
      <c r="J29" s="28"/>
    </row>
    <row r="30" spans="1:10" x14ac:dyDescent="0.35">
      <c r="A30" s="12">
        <f t="shared" si="1"/>
        <v>26</v>
      </c>
      <c r="B30" s="13">
        <v>300</v>
      </c>
      <c r="C30" s="14">
        <f>B30/A30</f>
        <v>11.538461538461538</v>
      </c>
      <c r="D30" s="15">
        <f>SUM(C30:C121)+$G$5</f>
        <v>371.55917695811127</v>
      </c>
      <c r="E30" s="16"/>
      <c r="F30" s="17">
        <f t="shared" si="0"/>
        <v>-371.55917695811127</v>
      </c>
      <c r="G30" s="28"/>
      <c r="H30" s="28" t="s">
        <v>15</v>
      </c>
      <c r="I30" s="28"/>
      <c r="J30" s="28"/>
    </row>
    <row r="31" spans="1:10" x14ac:dyDescent="0.35">
      <c r="A31" s="12">
        <f t="shared" si="1"/>
        <v>27</v>
      </c>
      <c r="B31" s="13">
        <v>300</v>
      </c>
      <c r="C31" s="14">
        <f>B31/A31</f>
        <v>11.111111111111111</v>
      </c>
      <c r="D31" s="15">
        <f>SUM(C31:C122)+$G$5</f>
        <v>360.02071541964978</v>
      </c>
      <c r="E31" s="16"/>
      <c r="F31" s="17">
        <f t="shared" si="0"/>
        <v>-360.02071541964978</v>
      </c>
      <c r="G31" s="28"/>
      <c r="H31" s="28" t="s">
        <v>15</v>
      </c>
      <c r="I31" s="28"/>
      <c r="J31" s="28"/>
    </row>
    <row r="32" spans="1:10" x14ac:dyDescent="0.35">
      <c r="A32" s="12">
        <f t="shared" si="1"/>
        <v>28</v>
      </c>
      <c r="B32" s="13">
        <v>300</v>
      </c>
      <c r="C32" s="14">
        <f>B32/A32</f>
        <v>10.714285714285714</v>
      </c>
      <c r="D32" s="15">
        <f t="shared" ref="D31:D82" si="3">SUM(C32:C123)+$G$5</f>
        <v>348.90960430853863</v>
      </c>
      <c r="E32" s="16"/>
      <c r="F32" s="17">
        <f t="shared" si="0"/>
        <v>-348.90960430853863</v>
      </c>
      <c r="G32" s="28"/>
      <c r="H32" s="28" t="s">
        <v>15</v>
      </c>
      <c r="I32" s="28"/>
      <c r="J32" s="28"/>
    </row>
    <row r="33" spans="1:10" x14ac:dyDescent="0.35">
      <c r="A33" s="12">
        <f t="shared" si="1"/>
        <v>29</v>
      </c>
      <c r="B33" s="13">
        <v>300</v>
      </c>
      <c r="C33" s="14">
        <f>B33/A33</f>
        <v>10.344827586206897</v>
      </c>
      <c r="D33" s="15">
        <f t="shared" si="3"/>
        <v>338.19531859425291</v>
      </c>
      <c r="E33" s="16"/>
      <c r="F33" s="17">
        <f t="shared" si="0"/>
        <v>-338.19531859425291</v>
      </c>
      <c r="G33" s="28"/>
      <c r="H33" s="28" t="s">
        <v>15</v>
      </c>
      <c r="I33" s="28"/>
      <c r="J33" s="28"/>
    </row>
    <row r="34" spans="1:10" x14ac:dyDescent="0.35">
      <c r="A34" s="12">
        <f t="shared" si="1"/>
        <v>30</v>
      </c>
      <c r="B34" s="13">
        <v>300</v>
      </c>
      <c r="C34" s="14">
        <f>B34/A34</f>
        <v>10</v>
      </c>
      <c r="D34" s="15">
        <f t="shared" si="3"/>
        <v>327.85049100804599</v>
      </c>
      <c r="E34" s="16"/>
      <c r="F34" s="17">
        <f t="shared" si="0"/>
        <v>-327.85049100804599</v>
      </c>
      <c r="G34" s="28"/>
      <c r="H34" s="28" t="s">
        <v>15</v>
      </c>
      <c r="I34" s="28"/>
      <c r="J34" s="28"/>
    </row>
    <row r="35" spans="1:10" x14ac:dyDescent="0.35">
      <c r="A35" s="12">
        <f t="shared" si="1"/>
        <v>31</v>
      </c>
      <c r="B35" s="13">
        <v>300</v>
      </c>
      <c r="C35" s="14">
        <f>B35/A35</f>
        <v>9.67741935483871</v>
      </c>
      <c r="D35" s="15">
        <f t="shared" si="3"/>
        <v>317.85049100804605</v>
      </c>
      <c r="E35" s="16"/>
      <c r="F35" s="17">
        <f t="shared" si="0"/>
        <v>-317.85049100804605</v>
      </c>
      <c r="G35" s="28"/>
      <c r="H35" s="28" t="s">
        <v>15</v>
      </c>
      <c r="I35" s="28"/>
      <c r="J35" s="28"/>
    </row>
    <row r="36" spans="1:10" x14ac:dyDescent="0.35">
      <c r="A36" s="12">
        <f t="shared" si="1"/>
        <v>32</v>
      </c>
      <c r="B36" s="13">
        <v>300</v>
      </c>
      <c r="C36" s="14">
        <f>B36/A36</f>
        <v>9.375</v>
      </c>
      <c r="D36" s="15">
        <f t="shared" si="3"/>
        <v>308.17307165320727</v>
      </c>
      <c r="E36" s="16"/>
      <c r="F36" s="17">
        <f t="shared" si="0"/>
        <v>-308.17307165320727</v>
      </c>
      <c r="G36" s="28"/>
      <c r="H36" s="28" t="s">
        <v>15</v>
      </c>
      <c r="I36" s="28"/>
      <c r="J36" s="28"/>
    </row>
    <row r="37" spans="1:10" x14ac:dyDescent="0.35">
      <c r="A37" s="12">
        <f t="shared" si="1"/>
        <v>33</v>
      </c>
      <c r="B37" s="13">
        <v>300</v>
      </c>
      <c r="C37" s="14">
        <f>B37/A37</f>
        <v>9.0909090909090917</v>
      </c>
      <c r="D37" s="15">
        <f t="shared" si="3"/>
        <v>298.79807165320727</v>
      </c>
      <c r="E37" s="16"/>
      <c r="F37" s="17">
        <f t="shared" si="0"/>
        <v>-298.79807165320727</v>
      </c>
      <c r="G37" s="28"/>
      <c r="H37" s="28" t="s">
        <v>15</v>
      </c>
      <c r="I37" s="28"/>
      <c r="J37" s="28"/>
    </row>
    <row r="38" spans="1:10" x14ac:dyDescent="0.35">
      <c r="A38" s="12">
        <f t="shared" si="1"/>
        <v>34</v>
      </c>
      <c r="B38" s="13">
        <v>300</v>
      </c>
      <c r="C38" s="14">
        <f>B38/A38</f>
        <v>8.8235294117647065</v>
      </c>
      <c r="D38" s="15">
        <f t="shared" si="3"/>
        <v>289.70716256229821</v>
      </c>
      <c r="E38" s="16"/>
      <c r="F38" s="17">
        <f t="shared" si="0"/>
        <v>-289.70716256229821</v>
      </c>
      <c r="G38" s="28"/>
      <c r="H38" s="28" t="s">
        <v>15</v>
      </c>
      <c r="I38" s="28"/>
      <c r="J38" s="28"/>
    </row>
    <row r="39" spans="1:10" x14ac:dyDescent="0.35">
      <c r="A39" s="12">
        <f t="shared" si="1"/>
        <v>35</v>
      </c>
      <c r="B39" s="13">
        <v>300</v>
      </c>
      <c r="C39" s="14">
        <f>B39/A39</f>
        <v>8.5714285714285712</v>
      </c>
      <c r="D39" s="15">
        <f t="shared" si="3"/>
        <v>280.88363315053346</v>
      </c>
      <c r="E39" s="16"/>
      <c r="F39" s="17">
        <f t="shared" si="0"/>
        <v>-280.88363315053346</v>
      </c>
      <c r="G39" s="28"/>
      <c r="H39" s="28" t="s">
        <v>15</v>
      </c>
      <c r="I39" s="28"/>
      <c r="J39" s="28"/>
    </row>
    <row r="40" spans="1:10" x14ac:dyDescent="0.35">
      <c r="A40" s="12">
        <f t="shared" si="1"/>
        <v>36</v>
      </c>
      <c r="B40" s="13">
        <v>300</v>
      </c>
      <c r="C40" s="14">
        <f>B40/A40</f>
        <v>8.3333333333333339</v>
      </c>
      <c r="D40" s="15">
        <f t="shared" si="3"/>
        <v>272.3122045791049</v>
      </c>
      <c r="E40" s="16"/>
      <c r="F40" s="17">
        <f t="shared" si="0"/>
        <v>-272.3122045791049</v>
      </c>
      <c r="G40" s="28"/>
      <c r="H40" s="28" t="s">
        <v>15</v>
      </c>
      <c r="I40" s="28"/>
      <c r="J40" s="28"/>
    </row>
    <row r="41" spans="1:10" x14ac:dyDescent="0.35">
      <c r="A41" s="12">
        <f t="shared" si="1"/>
        <v>37</v>
      </c>
      <c r="B41" s="13">
        <v>300</v>
      </c>
      <c r="C41" s="14">
        <f>B41/A41</f>
        <v>8.1081081081081088</v>
      </c>
      <c r="D41" s="15">
        <f t="shared" si="3"/>
        <v>263.97887124577159</v>
      </c>
      <c r="E41" s="16"/>
      <c r="F41" s="17">
        <f t="shared" si="0"/>
        <v>-263.97887124577159</v>
      </c>
      <c r="G41" s="28"/>
      <c r="H41" s="28" t="s">
        <v>15</v>
      </c>
      <c r="I41" s="28"/>
      <c r="J41" s="28"/>
    </row>
    <row r="42" spans="1:10" x14ac:dyDescent="0.35">
      <c r="A42" s="12">
        <f t="shared" si="1"/>
        <v>38</v>
      </c>
      <c r="B42" s="13">
        <v>300</v>
      </c>
      <c r="C42" s="14">
        <f>B42/A42</f>
        <v>7.8947368421052628</v>
      </c>
      <c r="D42" s="15">
        <f t="shared" si="3"/>
        <v>255.87076313766346</v>
      </c>
      <c r="E42" s="16"/>
      <c r="F42" s="17">
        <f t="shared" si="0"/>
        <v>-255.87076313766346</v>
      </c>
      <c r="G42" s="28"/>
      <c r="H42" s="28" t="s">
        <v>15</v>
      </c>
      <c r="I42" s="28"/>
      <c r="J42" s="28"/>
    </row>
    <row r="43" spans="1:10" x14ac:dyDescent="0.35">
      <c r="A43" s="12">
        <f t="shared" si="1"/>
        <v>39</v>
      </c>
      <c r="B43" s="13">
        <v>300</v>
      </c>
      <c r="C43" s="14">
        <f>B43/A43</f>
        <v>7.6923076923076925</v>
      </c>
      <c r="D43" s="15">
        <f t="shared" si="3"/>
        <v>247.9760262955582</v>
      </c>
      <c r="E43" s="16"/>
      <c r="F43" s="17">
        <f t="shared" si="0"/>
        <v>-247.9760262955582</v>
      </c>
      <c r="G43" s="28"/>
      <c r="H43" s="28" t="s">
        <v>15</v>
      </c>
      <c r="I43" s="28"/>
      <c r="J43" s="28"/>
    </row>
    <row r="44" spans="1:10" x14ac:dyDescent="0.35">
      <c r="A44" s="12">
        <f t="shared" si="1"/>
        <v>40</v>
      </c>
      <c r="B44" s="13">
        <v>300</v>
      </c>
      <c r="C44" s="14">
        <f>B44/A44</f>
        <v>7.5</v>
      </c>
      <c r="D44" s="15">
        <f t="shared" si="3"/>
        <v>240.28371860325049</v>
      </c>
      <c r="E44" s="16"/>
      <c r="F44" s="17">
        <f t="shared" si="0"/>
        <v>-240.28371860325049</v>
      </c>
      <c r="G44" s="28"/>
      <c r="H44" s="28" t="s">
        <v>15</v>
      </c>
      <c r="I44" s="28"/>
      <c r="J44" s="28"/>
    </row>
    <row r="45" spans="1:10" x14ac:dyDescent="0.35">
      <c r="A45" s="12">
        <f t="shared" si="1"/>
        <v>41</v>
      </c>
      <c r="B45" s="13">
        <v>300</v>
      </c>
      <c r="C45" s="14">
        <f>B45/A45</f>
        <v>7.3170731707317076</v>
      </c>
      <c r="D45" s="15">
        <f t="shared" si="3"/>
        <v>232.78371860325049</v>
      </c>
      <c r="E45" s="16"/>
      <c r="F45" s="17">
        <f t="shared" si="0"/>
        <v>-232.78371860325049</v>
      </c>
      <c r="G45" s="28"/>
      <c r="H45" s="28" t="s">
        <v>15</v>
      </c>
      <c r="I45" s="28"/>
      <c r="J45" s="28"/>
    </row>
    <row r="46" spans="1:10" x14ac:dyDescent="0.35">
      <c r="A46" s="12">
        <f t="shared" si="1"/>
        <v>42</v>
      </c>
      <c r="B46" s="13">
        <v>300</v>
      </c>
      <c r="C46" s="14">
        <f>B46/A46</f>
        <v>7.1428571428571432</v>
      </c>
      <c r="D46" s="15">
        <f t="shared" si="3"/>
        <v>225.46664543251879</v>
      </c>
      <c r="E46" s="16"/>
      <c r="F46" s="17">
        <f t="shared" si="0"/>
        <v>-225.46664543251879</v>
      </c>
      <c r="G46" s="28"/>
      <c r="H46" s="28" t="s">
        <v>15</v>
      </c>
      <c r="I46" s="28"/>
      <c r="J46" s="28"/>
    </row>
    <row r="47" spans="1:10" x14ac:dyDescent="0.35">
      <c r="A47" s="12">
        <f t="shared" si="1"/>
        <v>43</v>
      </c>
      <c r="B47" s="13">
        <v>300</v>
      </c>
      <c r="C47" s="14">
        <f>B47/A47</f>
        <v>6.9767441860465116</v>
      </c>
      <c r="D47" s="15">
        <f t="shared" si="3"/>
        <v>218.32378828966165</v>
      </c>
      <c r="E47" s="16"/>
      <c r="F47" s="17">
        <f t="shared" si="0"/>
        <v>-218.32378828966165</v>
      </c>
      <c r="G47" s="28"/>
      <c r="H47" s="28" t="s">
        <v>15</v>
      </c>
      <c r="I47" s="28"/>
      <c r="J47" s="28"/>
    </row>
    <row r="48" spans="1:10" x14ac:dyDescent="0.35">
      <c r="A48" s="12">
        <f t="shared" si="1"/>
        <v>44</v>
      </c>
      <c r="B48" s="13">
        <v>300</v>
      </c>
      <c r="C48" s="14">
        <f>B48/A48</f>
        <v>6.8181818181818183</v>
      </c>
      <c r="D48" s="15">
        <f t="shared" si="3"/>
        <v>211.34704410361513</v>
      </c>
      <c r="E48" s="16"/>
      <c r="F48" s="17">
        <f t="shared" si="0"/>
        <v>-211.34704410361513</v>
      </c>
      <c r="G48" s="28"/>
      <c r="H48" s="28" t="s">
        <v>15</v>
      </c>
      <c r="I48" s="28"/>
      <c r="J48" s="28"/>
    </row>
    <row r="49" spans="1:10" x14ac:dyDescent="0.35">
      <c r="A49" s="12">
        <f t="shared" si="1"/>
        <v>45</v>
      </c>
      <c r="B49" s="13">
        <v>300</v>
      </c>
      <c r="C49" s="14">
        <f>B49/A49</f>
        <v>6.666666666666667</v>
      </c>
      <c r="D49" s="15">
        <f t="shared" si="3"/>
        <v>204.52886228543332</v>
      </c>
      <c r="E49" s="16"/>
      <c r="F49" s="17">
        <f t="shared" si="0"/>
        <v>-204.52886228543332</v>
      </c>
      <c r="G49" s="28"/>
      <c r="H49" s="28" t="s">
        <v>15</v>
      </c>
      <c r="I49" s="28"/>
      <c r="J49" s="28"/>
    </row>
    <row r="50" spans="1:10" x14ac:dyDescent="0.35">
      <c r="A50" s="12">
        <f t="shared" si="1"/>
        <v>46</v>
      </c>
      <c r="B50" s="13">
        <v>300</v>
      </c>
      <c r="C50" s="14">
        <f>B50/A50</f>
        <v>6.5217391304347823</v>
      </c>
      <c r="D50" s="15">
        <f t="shared" si="3"/>
        <v>197.86219561876663</v>
      </c>
      <c r="E50" s="16"/>
      <c r="F50" s="17">
        <f t="shared" si="0"/>
        <v>-197.86219561876663</v>
      </c>
      <c r="G50" s="28"/>
      <c r="H50" s="28" t="s">
        <v>15</v>
      </c>
      <c r="I50" s="28"/>
      <c r="J50" s="28"/>
    </row>
    <row r="51" spans="1:10" x14ac:dyDescent="0.35">
      <c r="A51" s="12">
        <f t="shared" si="1"/>
        <v>47</v>
      </c>
      <c r="B51" s="13">
        <v>300</v>
      </c>
      <c r="C51" s="14">
        <f>B51/A51</f>
        <v>6.3829787234042552</v>
      </c>
      <c r="D51" s="15">
        <f t="shared" si="3"/>
        <v>191.34045648833185</v>
      </c>
      <c r="E51" s="16"/>
      <c r="F51" s="17">
        <f t="shared" si="0"/>
        <v>-191.34045648833185</v>
      </c>
      <c r="G51" s="28"/>
      <c r="H51" s="28" t="s">
        <v>15</v>
      </c>
      <c r="I51" s="28"/>
      <c r="J51" s="28"/>
    </row>
    <row r="52" spans="1:10" x14ac:dyDescent="0.35">
      <c r="A52" s="12">
        <f t="shared" si="1"/>
        <v>48</v>
      </c>
      <c r="B52" s="13">
        <v>300</v>
      </c>
      <c r="C52" s="14">
        <f>B52/A52</f>
        <v>6.25</v>
      </c>
      <c r="D52" s="15">
        <f t="shared" si="3"/>
        <v>184.95747776492763</v>
      </c>
      <c r="E52" s="16"/>
      <c r="F52" s="17">
        <f t="shared" si="0"/>
        <v>-184.95747776492763</v>
      </c>
      <c r="G52" s="28"/>
      <c r="H52" s="28" t="s">
        <v>15</v>
      </c>
      <c r="I52" s="28"/>
      <c r="J52" s="28"/>
    </row>
    <row r="53" spans="1:10" x14ac:dyDescent="0.35">
      <c r="A53" s="12">
        <f t="shared" si="1"/>
        <v>49</v>
      </c>
      <c r="B53" s="13">
        <v>300</v>
      </c>
      <c r="C53" s="14">
        <f>B53/A53</f>
        <v>6.1224489795918364</v>
      </c>
      <c r="D53" s="15">
        <f t="shared" si="3"/>
        <v>178.7074777649276</v>
      </c>
      <c r="E53" s="16"/>
      <c r="F53" s="17">
        <f t="shared" si="0"/>
        <v>-178.7074777649276</v>
      </c>
      <c r="G53" s="28"/>
      <c r="H53" s="28" t="s">
        <v>15</v>
      </c>
      <c r="I53" s="28"/>
      <c r="J53" s="28"/>
    </row>
    <row r="54" spans="1:10" x14ac:dyDescent="0.35">
      <c r="A54" s="12">
        <f t="shared" si="1"/>
        <v>50</v>
      </c>
      <c r="B54" s="13">
        <v>300</v>
      </c>
      <c r="C54" s="14">
        <f>B54/A54</f>
        <v>6</v>
      </c>
      <c r="D54" s="15">
        <f t="shared" si="3"/>
        <v>172.58502878533577</v>
      </c>
      <c r="E54" s="16"/>
      <c r="F54" s="17">
        <f t="shared" si="0"/>
        <v>-172.58502878533577</v>
      </c>
      <c r="G54" s="28"/>
      <c r="H54" s="28" t="s">
        <v>15</v>
      </c>
      <c r="I54" s="28"/>
      <c r="J54" s="28"/>
    </row>
    <row r="55" spans="1:10" x14ac:dyDescent="0.35">
      <c r="A55" s="12">
        <f t="shared" si="1"/>
        <v>51</v>
      </c>
      <c r="B55" s="13">
        <v>300</v>
      </c>
      <c r="C55" s="14">
        <f>B55/A55</f>
        <v>5.882352941176471</v>
      </c>
      <c r="D55" s="15">
        <f t="shared" si="3"/>
        <v>166.58502878533577</v>
      </c>
      <c r="E55" s="16"/>
      <c r="F55" s="17">
        <f t="shared" si="0"/>
        <v>-166.58502878533577</v>
      </c>
      <c r="G55" s="28"/>
      <c r="H55" s="28" t="s">
        <v>15</v>
      </c>
      <c r="I55" s="28"/>
      <c r="J55" s="28"/>
    </row>
    <row r="56" spans="1:10" x14ac:dyDescent="0.35">
      <c r="A56" s="12">
        <f t="shared" si="1"/>
        <v>52</v>
      </c>
      <c r="B56" s="13">
        <v>300</v>
      </c>
      <c r="C56" s="14">
        <f>B56/A56</f>
        <v>5.7692307692307692</v>
      </c>
      <c r="D56" s="15">
        <f t="shared" si="3"/>
        <v>160.7026758441593</v>
      </c>
      <c r="E56" s="16"/>
      <c r="F56" s="17">
        <f t="shared" si="0"/>
        <v>-160.7026758441593</v>
      </c>
      <c r="G56" s="28"/>
      <c r="H56" s="28" t="s">
        <v>15</v>
      </c>
      <c r="I56" s="28"/>
      <c r="J56" s="28"/>
    </row>
    <row r="57" spans="1:10" x14ac:dyDescent="0.35">
      <c r="A57" s="12">
        <f t="shared" si="1"/>
        <v>53</v>
      </c>
      <c r="B57" s="13">
        <v>300</v>
      </c>
      <c r="C57" s="14">
        <f>B57/A57</f>
        <v>5.6603773584905657</v>
      </c>
      <c r="D57" s="15">
        <f t="shared" si="3"/>
        <v>154.93344507492853</v>
      </c>
      <c r="E57" s="16"/>
      <c r="F57" s="17">
        <f t="shared" si="0"/>
        <v>-154.93344507492853</v>
      </c>
      <c r="G57" s="28"/>
      <c r="H57" s="28" t="s">
        <v>15</v>
      </c>
      <c r="I57" s="28"/>
      <c r="J57" s="28"/>
    </row>
    <row r="58" spans="1:10" x14ac:dyDescent="0.35">
      <c r="A58" s="12">
        <f t="shared" si="1"/>
        <v>54</v>
      </c>
      <c r="B58" s="13">
        <v>300</v>
      </c>
      <c r="C58" s="14">
        <f>B58/A58</f>
        <v>5.5555555555555554</v>
      </c>
      <c r="D58" s="15">
        <f t="shared" si="3"/>
        <v>149.27306771643796</v>
      </c>
      <c r="E58" s="16"/>
      <c r="F58" s="17">
        <f t="shared" si="0"/>
        <v>-149.27306771643796</v>
      </c>
      <c r="G58" s="28"/>
      <c r="H58" s="28" t="s">
        <v>15</v>
      </c>
      <c r="I58" s="28"/>
      <c r="J58" s="28"/>
    </row>
    <row r="59" spans="1:10" x14ac:dyDescent="0.35">
      <c r="A59" s="12">
        <f t="shared" si="1"/>
        <v>55</v>
      </c>
      <c r="B59" s="13">
        <v>300</v>
      </c>
      <c r="C59" s="14">
        <f>B59/A59</f>
        <v>5.4545454545454541</v>
      </c>
      <c r="D59" s="15">
        <f t="shared" si="3"/>
        <v>143.71751216088242</v>
      </c>
      <c r="E59" s="16"/>
      <c r="F59" s="17">
        <f t="shared" si="0"/>
        <v>-143.71751216088242</v>
      </c>
      <c r="G59" s="28"/>
      <c r="H59" s="28" t="s">
        <v>15</v>
      </c>
      <c r="I59" s="28"/>
      <c r="J59" s="28"/>
    </row>
    <row r="60" spans="1:10" x14ac:dyDescent="0.35">
      <c r="A60" s="12">
        <f t="shared" si="1"/>
        <v>56</v>
      </c>
      <c r="B60" s="13">
        <v>300</v>
      </c>
      <c r="C60" s="14">
        <f>B60/A60</f>
        <v>5.3571428571428568</v>
      </c>
      <c r="D60" s="15">
        <f t="shared" si="3"/>
        <v>138.26296670633695</v>
      </c>
      <c r="E60" s="16"/>
      <c r="F60" s="17">
        <f t="shared" si="0"/>
        <v>-138.26296670633695</v>
      </c>
      <c r="G60" s="28"/>
      <c r="H60" s="28" t="s">
        <v>15</v>
      </c>
      <c r="I60" s="28"/>
      <c r="J60" s="28"/>
    </row>
    <row r="61" spans="1:10" x14ac:dyDescent="0.35">
      <c r="A61" s="12">
        <f t="shared" si="1"/>
        <v>57</v>
      </c>
      <c r="B61" s="13">
        <v>300</v>
      </c>
      <c r="C61" s="14">
        <f>B61/A61</f>
        <v>5.2631578947368425</v>
      </c>
      <c r="D61" s="15">
        <f t="shared" si="3"/>
        <v>132.90582384919412</v>
      </c>
      <c r="E61" s="16"/>
      <c r="F61" s="17">
        <f t="shared" si="0"/>
        <v>-132.90582384919412</v>
      </c>
      <c r="G61" s="28"/>
      <c r="H61" s="28" t="s">
        <v>15</v>
      </c>
      <c r="I61" s="28"/>
      <c r="J61" s="28"/>
    </row>
    <row r="62" spans="1:10" x14ac:dyDescent="0.35">
      <c r="A62" s="12">
        <f t="shared" si="1"/>
        <v>58</v>
      </c>
      <c r="B62" s="13">
        <v>300</v>
      </c>
      <c r="C62" s="14">
        <f>B62/A62</f>
        <v>5.1724137931034484</v>
      </c>
      <c r="D62" s="15">
        <f t="shared" si="3"/>
        <v>127.64266595445726</v>
      </c>
      <c r="E62" s="16"/>
      <c r="F62" s="17">
        <f t="shared" si="0"/>
        <v>-127.64266595445726</v>
      </c>
      <c r="G62" s="28"/>
      <c r="H62" s="28" t="s">
        <v>15</v>
      </c>
      <c r="I62" s="28"/>
      <c r="J62" s="28"/>
    </row>
    <row r="63" spans="1:10" x14ac:dyDescent="0.35">
      <c r="A63" s="12">
        <f t="shared" si="1"/>
        <v>59</v>
      </c>
      <c r="B63" s="13">
        <v>300</v>
      </c>
      <c r="C63" s="14">
        <f>B63/A63</f>
        <v>5.0847457627118642</v>
      </c>
      <c r="D63" s="15">
        <f t="shared" si="3"/>
        <v>122.4702521613538</v>
      </c>
      <c r="E63" s="16"/>
      <c r="F63" s="17">
        <f t="shared" si="0"/>
        <v>-122.4702521613538</v>
      </c>
      <c r="G63" s="28"/>
      <c r="H63" s="28" t="s">
        <v>15</v>
      </c>
      <c r="I63" s="28"/>
      <c r="J63" s="28"/>
    </row>
    <row r="64" spans="1:10" x14ac:dyDescent="0.35">
      <c r="A64" s="12">
        <f t="shared" si="1"/>
        <v>60</v>
      </c>
      <c r="B64" s="13">
        <v>300</v>
      </c>
      <c r="C64" s="14">
        <f>B64/A64</f>
        <v>5</v>
      </c>
      <c r="D64" s="15">
        <f t="shared" si="3"/>
        <v>117.38550639864194</v>
      </c>
      <c r="E64" s="16"/>
      <c r="F64" s="17">
        <f t="shared" si="0"/>
        <v>-117.38550639864194</v>
      </c>
      <c r="G64" s="28"/>
      <c r="H64" s="28" t="s">
        <v>15</v>
      </c>
      <c r="I64" s="28"/>
      <c r="J64" s="28"/>
    </row>
    <row r="65" spans="1:10" x14ac:dyDescent="0.35">
      <c r="A65" s="12">
        <f t="shared" si="1"/>
        <v>61</v>
      </c>
      <c r="B65" s="13">
        <v>300</v>
      </c>
      <c r="C65" s="14">
        <f>B65/A65</f>
        <v>4.918032786885246</v>
      </c>
      <c r="D65" s="15">
        <f t="shared" si="3"/>
        <v>112.38550639864194</v>
      </c>
      <c r="E65" s="16"/>
      <c r="F65" s="17">
        <f t="shared" si="0"/>
        <v>-112.38550639864194</v>
      </c>
      <c r="G65" s="28"/>
      <c r="H65" s="28" t="s">
        <v>15</v>
      </c>
      <c r="I65" s="28"/>
      <c r="J65" s="28"/>
    </row>
    <row r="66" spans="1:10" x14ac:dyDescent="0.35">
      <c r="A66" s="12">
        <f t="shared" si="1"/>
        <v>62</v>
      </c>
      <c r="B66" s="13">
        <v>300</v>
      </c>
      <c r="C66" s="14">
        <f>B66/A66</f>
        <v>4.838709677419355</v>
      </c>
      <c r="D66" s="15">
        <f t="shared" si="3"/>
        <v>107.46747361175669</v>
      </c>
      <c r="E66" s="16"/>
      <c r="F66" s="17">
        <f t="shared" si="0"/>
        <v>-107.46747361175669</v>
      </c>
      <c r="G66" s="28"/>
      <c r="H66" s="28" t="s">
        <v>15</v>
      </c>
      <c r="I66" s="28"/>
      <c r="J66" s="28"/>
    </row>
    <row r="67" spans="1:10" x14ac:dyDescent="0.35">
      <c r="A67" s="12">
        <f t="shared" si="1"/>
        <v>63</v>
      </c>
      <c r="B67" s="13">
        <v>300</v>
      </c>
      <c r="C67" s="14">
        <f>B67/A67</f>
        <v>4.7619047619047619</v>
      </c>
      <c r="D67" s="15">
        <f t="shared" si="3"/>
        <v>102.62876393433734</v>
      </c>
      <c r="E67" s="16"/>
      <c r="F67" s="17">
        <f t="shared" si="0"/>
        <v>-102.62876393433734</v>
      </c>
      <c r="G67" s="28"/>
      <c r="H67" s="28" t="s">
        <v>15</v>
      </c>
      <c r="I67" s="28"/>
      <c r="J67" s="28"/>
    </row>
    <row r="68" spans="1:10" x14ac:dyDescent="0.35">
      <c r="A68" s="12">
        <f t="shared" si="1"/>
        <v>64</v>
      </c>
      <c r="B68" s="13">
        <v>300</v>
      </c>
      <c r="C68" s="14">
        <f>B68/A68</f>
        <v>4.6875</v>
      </c>
      <c r="D68" s="15">
        <f t="shared" si="3"/>
        <v>97.866859172432584</v>
      </c>
      <c r="E68" s="16"/>
      <c r="F68" s="17">
        <f t="shared" si="0"/>
        <v>-97.866859172432584</v>
      </c>
      <c r="G68" s="28"/>
      <c r="H68" s="28" t="s">
        <v>15</v>
      </c>
      <c r="I68" s="28"/>
      <c r="J68" s="28"/>
    </row>
    <row r="69" spans="1:10" x14ac:dyDescent="0.35">
      <c r="A69" s="12">
        <f t="shared" si="1"/>
        <v>65</v>
      </c>
      <c r="B69" s="13">
        <v>300</v>
      </c>
      <c r="C69" s="14">
        <f>B69/A69</f>
        <v>4.615384615384615</v>
      </c>
      <c r="D69" s="15">
        <f t="shared" si="3"/>
        <v>93.179359172432584</v>
      </c>
      <c r="E69" s="16"/>
      <c r="F69" s="17">
        <f t="shared" si="0"/>
        <v>-93.179359172432584</v>
      </c>
      <c r="G69" s="28"/>
      <c r="H69" s="28" t="s">
        <v>15</v>
      </c>
      <c r="I69" s="28"/>
      <c r="J69" s="28"/>
    </row>
    <row r="70" spans="1:10" x14ac:dyDescent="0.35">
      <c r="A70" s="12">
        <f t="shared" si="1"/>
        <v>66</v>
      </c>
      <c r="B70" s="13">
        <v>300</v>
      </c>
      <c r="C70" s="14">
        <f>B70/A70</f>
        <v>4.5454545454545459</v>
      </c>
      <c r="D70" s="15">
        <f t="shared" si="3"/>
        <v>88.56397455704797</v>
      </c>
      <c r="E70" s="16"/>
      <c r="F70" s="17">
        <f t="shared" ref="F70:F97" si="4">E70-D70</f>
        <v>-88.56397455704797</v>
      </c>
      <c r="G70" s="28"/>
      <c r="H70" s="28" t="s">
        <v>15</v>
      </c>
      <c r="I70" s="28"/>
      <c r="J70" s="28"/>
    </row>
    <row r="71" spans="1:10" x14ac:dyDescent="0.35">
      <c r="A71" s="12">
        <f t="shared" si="1"/>
        <v>67</v>
      </c>
      <c r="B71" s="13">
        <v>300</v>
      </c>
      <c r="C71" s="14">
        <f>B71/A71</f>
        <v>4.4776119402985071</v>
      </c>
      <c r="D71" s="15">
        <f t="shared" si="3"/>
        <v>84.018520011593424</v>
      </c>
      <c r="E71" s="16"/>
      <c r="F71" s="17">
        <f t="shared" si="4"/>
        <v>-84.018520011593424</v>
      </c>
      <c r="G71" s="28"/>
      <c r="H71" s="28" t="s">
        <v>15</v>
      </c>
      <c r="I71" s="28"/>
      <c r="J71" s="28"/>
    </row>
    <row r="72" spans="1:10" x14ac:dyDescent="0.35">
      <c r="A72" s="12">
        <f t="shared" ref="A72:A97" si="5">A71+1</f>
        <v>68</v>
      </c>
      <c r="B72" s="13">
        <v>300</v>
      </c>
      <c r="C72" s="14">
        <f>B72/A72</f>
        <v>4.4117647058823533</v>
      </c>
      <c r="D72" s="15">
        <f t="shared" si="3"/>
        <v>79.540908071294922</v>
      </c>
      <c r="E72" s="16"/>
      <c r="F72" s="17">
        <f t="shared" si="4"/>
        <v>-79.540908071294922</v>
      </c>
      <c r="G72" s="28"/>
      <c r="H72" s="28" t="s">
        <v>15</v>
      </c>
      <c r="I72" s="28"/>
      <c r="J72" s="28"/>
    </row>
    <row r="73" spans="1:10" x14ac:dyDescent="0.35">
      <c r="A73" s="12">
        <f t="shared" si="5"/>
        <v>69</v>
      </c>
      <c r="B73" s="13">
        <v>300</v>
      </c>
      <c r="C73" s="14">
        <f>B73/A73</f>
        <v>4.3478260869565215</v>
      </c>
      <c r="D73" s="15">
        <f t="shared" si="3"/>
        <v>75.129143365412574</v>
      </c>
      <c r="E73" s="16"/>
      <c r="F73" s="17">
        <f t="shared" si="4"/>
        <v>-75.129143365412574</v>
      </c>
      <c r="G73" s="28"/>
      <c r="H73" s="28" t="s">
        <v>15</v>
      </c>
      <c r="I73" s="28"/>
      <c r="J73" s="28"/>
    </row>
    <row r="74" spans="1:10" x14ac:dyDescent="0.35">
      <c r="A74" s="12">
        <f t="shared" si="5"/>
        <v>70</v>
      </c>
      <c r="B74" s="13">
        <v>300</v>
      </c>
      <c r="C74" s="14">
        <f>B74/A74</f>
        <v>4.2857142857142856</v>
      </c>
      <c r="D74" s="15">
        <f t="shared" si="3"/>
        <v>70.781317278456058</v>
      </c>
      <c r="E74" s="16"/>
      <c r="F74" s="17">
        <f t="shared" si="4"/>
        <v>-70.781317278456058</v>
      </c>
      <c r="G74" s="28"/>
      <c r="H74" s="28" t="s">
        <v>15</v>
      </c>
      <c r="I74" s="28"/>
      <c r="J74" s="28"/>
    </row>
    <row r="75" spans="1:10" x14ac:dyDescent="0.35">
      <c r="A75" s="12">
        <f t="shared" si="5"/>
        <v>71</v>
      </c>
      <c r="B75" s="13">
        <v>300</v>
      </c>
      <c r="C75" s="14">
        <f>B75/A75</f>
        <v>4.225352112676056</v>
      </c>
      <c r="D75" s="15">
        <f t="shared" si="3"/>
        <v>66.495602992741766</v>
      </c>
      <c r="E75" s="16"/>
      <c r="F75" s="17">
        <f t="shared" si="4"/>
        <v>-66.495602992741766</v>
      </c>
      <c r="G75" s="28"/>
      <c r="H75" s="28" t="s">
        <v>15</v>
      </c>
      <c r="I75" s="28"/>
      <c r="J75" s="28"/>
    </row>
    <row r="76" spans="1:10" x14ac:dyDescent="0.35">
      <c r="A76" s="12">
        <f t="shared" si="5"/>
        <v>72</v>
      </c>
      <c r="B76" s="13">
        <v>300</v>
      </c>
      <c r="C76" s="14">
        <f>B76/A76</f>
        <v>4.166666666666667</v>
      </c>
      <c r="D76" s="15">
        <f t="shared" si="3"/>
        <v>62.270250880065717</v>
      </c>
      <c r="E76" s="16"/>
      <c r="F76" s="17">
        <f t="shared" si="4"/>
        <v>-62.270250880065717</v>
      </c>
      <c r="G76" s="28"/>
      <c r="H76" s="28" t="s">
        <v>15</v>
      </c>
      <c r="I76" s="28"/>
      <c r="J76" s="28"/>
    </row>
    <row r="77" spans="1:10" x14ac:dyDescent="0.35">
      <c r="A77" s="12">
        <f t="shared" si="5"/>
        <v>73</v>
      </c>
      <c r="B77" s="13">
        <v>300</v>
      </c>
      <c r="C77" s="14">
        <f>B77/A77</f>
        <v>4.1095890410958908</v>
      </c>
      <c r="D77" s="15">
        <f>SUM(C77:C168)+$G$5</f>
        <v>58.103584213399046</v>
      </c>
      <c r="E77" s="16"/>
      <c r="F77" s="17">
        <f t="shared" si="4"/>
        <v>-58.103584213399046</v>
      </c>
      <c r="G77" s="28"/>
      <c r="H77" s="28" t="s">
        <v>15</v>
      </c>
      <c r="I77" s="28"/>
      <c r="J77" s="28"/>
    </row>
    <row r="78" spans="1:10" x14ac:dyDescent="0.35">
      <c r="A78" s="12">
        <f t="shared" si="5"/>
        <v>74</v>
      </c>
      <c r="B78" s="13">
        <v>300</v>
      </c>
      <c r="C78" s="14">
        <f>B78/A78</f>
        <v>4.0540540540540544</v>
      </c>
      <c r="D78" s="15">
        <f>SUM(C78:C169)+$G$5</f>
        <v>53.993995172303151</v>
      </c>
      <c r="E78" s="16"/>
      <c r="F78" s="17">
        <f t="shared" si="4"/>
        <v>-53.993995172303151</v>
      </c>
      <c r="G78" s="28"/>
      <c r="H78" s="28" t="s">
        <v>15</v>
      </c>
      <c r="I78" s="28"/>
      <c r="J78" s="28"/>
    </row>
    <row r="79" spans="1:10" x14ac:dyDescent="0.35">
      <c r="A79" s="12">
        <f t="shared" si="5"/>
        <v>75</v>
      </c>
      <c r="B79" s="13">
        <v>300</v>
      </c>
      <c r="C79" s="14">
        <f>B79/A79</f>
        <v>4</v>
      </c>
      <c r="D79" s="15">
        <f>SUM(C79:C170)+$G$5</f>
        <v>49.939941118249095</v>
      </c>
      <c r="E79" s="16"/>
      <c r="F79" s="17">
        <f t="shared" si="4"/>
        <v>-49.939941118249095</v>
      </c>
      <c r="G79" s="28"/>
      <c r="H79" s="28" t="s">
        <v>15</v>
      </c>
      <c r="I79" s="28"/>
      <c r="J79" s="28"/>
    </row>
    <row r="80" spans="1:10" ht="43.5" x14ac:dyDescent="0.35">
      <c r="A80" s="23">
        <f t="shared" si="5"/>
        <v>76</v>
      </c>
      <c r="B80" s="24">
        <v>300</v>
      </c>
      <c r="C80" s="25">
        <f>B80/86</f>
        <v>3.4883720930232558</v>
      </c>
      <c r="D80" s="20">
        <f>C80</f>
        <v>3.4883720930232558</v>
      </c>
      <c r="E80" s="26"/>
      <c r="F80" s="27">
        <f t="shared" si="4"/>
        <v>-3.4883720930232558</v>
      </c>
      <c r="G80" s="27">
        <f>B80/86</f>
        <v>3.4883720930232558</v>
      </c>
      <c r="H80" s="30" t="s">
        <v>12</v>
      </c>
      <c r="I80" s="28"/>
      <c r="J80" s="28"/>
    </row>
    <row r="81" spans="1:10" x14ac:dyDescent="0.35">
      <c r="A81" s="12">
        <f t="shared" si="5"/>
        <v>77</v>
      </c>
      <c r="B81" s="13">
        <v>300</v>
      </c>
      <c r="C81" s="14">
        <f>B81/A81</f>
        <v>3.8961038961038961</v>
      </c>
      <c r="D81" s="15">
        <f>SUM(C81:C172)+$G$5+$G$80</f>
        <v>45.939941118249095</v>
      </c>
      <c r="E81" s="16"/>
      <c r="F81" s="17">
        <f t="shared" si="4"/>
        <v>-45.939941118249095</v>
      </c>
      <c r="G81" s="28"/>
      <c r="H81" s="28" t="s">
        <v>15</v>
      </c>
      <c r="I81" s="28"/>
      <c r="J81" s="28"/>
    </row>
    <row r="82" spans="1:10" x14ac:dyDescent="0.35">
      <c r="A82" s="12">
        <f t="shared" si="5"/>
        <v>78</v>
      </c>
      <c r="B82" s="13">
        <v>300</v>
      </c>
      <c r="C82" s="14">
        <f>B82/A82</f>
        <v>3.8461538461538463</v>
      </c>
      <c r="D82" s="15">
        <f>SUM(C82:C173)+$G$5+$G$80</f>
        <v>42.043837222145207</v>
      </c>
      <c r="E82" s="16"/>
      <c r="F82" s="17">
        <f t="shared" si="4"/>
        <v>-42.043837222145207</v>
      </c>
      <c r="G82" s="28"/>
      <c r="H82" s="28" t="s">
        <v>15</v>
      </c>
      <c r="I82" s="28"/>
      <c r="J82" s="28"/>
    </row>
    <row r="83" spans="1:10" x14ac:dyDescent="0.35">
      <c r="A83" s="4">
        <f t="shared" si="5"/>
        <v>79</v>
      </c>
      <c r="B83" s="6">
        <v>0</v>
      </c>
      <c r="C83" s="7">
        <f>B83/A83</f>
        <v>0</v>
      </c>
      <c r="D83" s="5">
        <f>SUM(C83:C174)</f>
        <v>31.179899518262218</v>
      </c>
      <c r="E83" s="18"/>
      <c r="F83" s="19">
        <f t="shared" si="4"/>
        <v>-31.179899518262218</v>
      </c>
      <c r="G83" s="18"/>
      <c r="H83" s="18" t="s">
        <v>16</v>
      </c>
      <c r="I83" s="28"/>
      <c r="J83" s="28"/>
    </row>
    <row r="84" spans="1:10" x14ac:dyDescent="0.35">
      <c r="A84" s="4">
        <f t="shared" si="5"/>
        <v>80</v>
      </c>
      <c r="B84" s="6">
        <v>0</v>
      </c>
      <c r="C84" s="7">
        <f>B84/A84</f>
        <v>0</v>
      </c>
      <c r="D84" s="5">
        <f>SUM(C84:C175)</f>
        <v>31.179899518262218</v>
      </c>
      <c r="E84" s="18"/>
      <c r="F84" s="19">
        <f t="shared" si="4"/>
        <v>-31.179899518262218</v>
      </c>
      <c r="G84" s="18"/>
      <c r="H84" s="18" t="s">
        <v>16</v>
      </c>
      <c r="I84" s="28"/>
      <c r="J84" s="28"/>
    </row>
    <row r="85" spans="1:10" x14ac:dyDescent="0.35">
      <c r="A85" s="12">
        <f t="shared" si="5"/>
        <v>81</v>
      </c>
      <c r="B85" s="13">
        <v>300</v>
      </c>
      <c r="C85" s="14">
        <f>B85/A85</f>
        <v>3.7037037037037037</v>
      </c>
      <c r="D85" s="15">
        <f>SUM(C85:C176)+$G$5+$G$80</f>
        <v>38.19768337599136</v>
      </c>
      <c r="E85" s="16"/>
      <c r="F85" s="17">
        <f t="shared" si="4"/>
        <v>-38.19768337599136</v>
      </c>
      <c r="G85" s="28"/>
      <c r="H85" s="28" t="s">
        <v>15</v>
      </c>
      <c r="I85" s="28"/>
      <c r="J85" s="28"/>
    </row>
    <row r="86" spans="1:10" x14ac:dyDescent="0.35">
      <c r="A86" s="12">
        <f t="shared" si="5"/>
        <v>82</v>
      </c>
      <c r="B86" s="13">
        <v>300</v>
      </c>
      <c r="C86" s="14">
        <f>B86/A86</f>
        <v>3.6585365853658538</v>
      </c>
      <c r="D86" s="15">
        <f>SUM(C86:C177)+$G$5+$G$80</f>
        <v>34.493979672287651</v>
      </c>
      <c r="E86" s="16"/>
      <c r="F86" s="17">
        <f t="shared" si="4"/>
        <v>-34.493979672287651</v>
      </c>
      <c r="G86" s="28"/>
      <c r="H86" s="28" t="s">
        <v>15</v>
      </c>
      <c r="I86" s="28"/>
      <c r="J86" s="28"/>
    </row>
    <row r="87" spans="1:10" x14ac:dyDescent="0.35">
      <c r="A87" s="12">
        <f t="shared" si="5"/>
        <v>83</v>
      </c>
      <c r="B87" s="13">
        <v>300</v>
      </c>
      <c r="C87" s="14">
        <f>B87/A87</f>
        <v>3.6144578313253013</v>
      </c>
      <c r="D87" s="15">
        <f>SUM(C87:C178)+$G$5+$G$80</f>
        <v>30.835443086921796</v>
      </c>
      <c r="E87" s="16"/>
      <c r="F87" s="17">
        <f t="shared" si="4"/>
        <v>-30.835443086921796</v>
      </c>
      <c r="G87" s="28"/>
      <c r="H87" s="28" t="s">
        <v>15</v>
      </c>
      <c r="I87" s="28"/>
      <c r="J87" s="28"/>
    </row>
    <row r="88" spans="1:10" x14ac:dyDescent="0.35">
      <c r="A88" s="4">
        <f t="shared" si="5"/>
        <v>84</v>
      </c>
      <c r="B88" s="6">
        <v>0</v>
      </c>
      <c r="C88" s="7">
        <f>B88/A88</f>
        <v>0</v>
      </c>
      <c r="D88" s="5">
        <f>SUM(C88:C179)</f>
        <v>20.203201397867357</v>
      </c>
      <c r="E88" s="18"/>
      <c r="F88" s="19">
        <f t="shared" si="4"/>
        <v>-20.203201397867357</v>
      </c>
      <c r="G88" s="18"/>
      <c r="H88" s="18" t="s">
        <v>16</v>
      </c>
      <c r="I88" s="28"/>
      <c r="J88" s="28"/>
    </row>
    <row r="89" spans="1:10" x14ac:dyDescent="0.35">
      <c r="A89" s="4">
        <f t="shared" si="5"/>
        <v>85</v>
      </c>
      <c r="B89" s="6">
        <v>0</v>
      </c>
      <c r="C89" s="7">
        <f>B89/A89</f>
        <v>0</v>
      </c>
      <c r="D89" s="5">
        <f>SUM(C89:C180)</f>
        <v>20.203201397867357</v>
      </c>
      <c r="E89" s="18"/>
      <c r="F89" s="19">
        <f t="shared" si="4"/>
        <v>-20.203201397867357</v>
      </c>
      <c r="G89" s="18"/>
      <c r="H89" s="18" t="s">
        <v>16</v>
      </c>
      <c r="I89" s="28"/>
      <c r="J89" s="28"/>
    </row>
    <row r="90" spans="1:10" x14ac:dyDescent="0.35">
      <c r="A90" s="12">
        <f t="shared" si="5"/>
        <v>86</v>
      </c>
      <c r="B90" s="13">
        <v>300</v>
      </c>
      <c r="C90" s="14">
        <f>B90/A90</f>
        <v>3.4883720930232558</v>
      </c>
      <c r="D90" s="15">
        <f t="shared" ref="D90:D93" si="6">SUM(C90:C181)+$G$5+$G$80</f>
        <v>27.220985255596492</v>
      </c>
      <c r="E90" s="16"/>
      <c r="F90" s="17">
        <f t="shared" si="4"/>
        <v>-27.220985255596492</v>
      </c>
      <c r="G90" s="28"/>
      <c r="H90" s="28" t="s">
        <v>15</v>
      </c>
      <c r="I90" s="28"/>
      <c r="J90" s="28"/>
    </row>
    <row r="91" spans="1:10" x14ac:dyDescent="0.35">
      <c r="A91" s="12">
        <f t="shared" si="5"/>
        <v>87</v>
      </c>
      <c r="B91" s="13">
        <v>300</v>
      </c>
      <c r="C91" s="14">
        <f>B91/A91</f>
        <v>3.4482758620689653</v>
      </c>
      <c r="D91" s="15">
        <f t="shared" si="6"/>
        <v>23.732613162573241</v>
      </c>
      <c r="E91" s="16"/>
      <c r="F91" s="17">
        <f t="shared" si="4"/>
        <v>-23.732613162573241</v>
      </c>
      <c r="G91" s="28"/>
      <c r="H91" s="28" t="s">
        <v>15</v>
      </c>
      <c r="I91" s="28"/>
      <c r="J91" s="28"/>
    </row>
    <row r="92" spans="1:10" x14ac:dyDescent="0.35">
      <c r="A92" s="12">
        <f t="shared" si="5"/>
        <v>88</v>
      </c>
      <c r="B92" s="13">
        <v>300</v>
      </c>
      <c r="C92" s="14">
        <f>B92/A92</f>
        <v>3.4090909090909092</v>
      </c>
      <c r="D92" s="15">
        <f t="shared" si="6"/>
        <v>20.284337300504273</v>
      </c>
      <c r="E92" s="16"/>
      <c r="F92" s="17">
        <f t="shared" si="4"/>
        <v>-20.284337300504273</v>
      </c>
      <c r="G92" s="28"/>
      <c r="H92" s="28" t="s">
        <v>15</v>
      </c>
      <c r="I92" s="28"/>
      <c r="J92" s="28"/>
    </row>
    <row r="93" spans="1:10" x14ac:dyDescent="0.35">
      <c r="A93" s="12">
        <f t="shared" si="5"/>
        <v>89</v>
      </c>
      <c r="B93" s="13">
        <v>300</v>
      </c>
      <c r="C93" s="14">
        <f>B93/A93</f>
        <v>3.3707865168539324</v>
      </c>
      <c r="D93" s="15">
        <f t="shared" si="6"/>
        <v>16.875246391413366</v>
      </c>
      <c r="E93" s="16"/>
      <c r="F93" s="17">
        <f t="shared" si="4"/>
        <v>-16.875246391413366</v>
      </c>
      <c r="G93" s="28"/>
      <c r="H93" s="28" t="s">
        <v>15</v>
      </c>
      <c r="I93" s="28"/>
      <c r="J93" s="28"/>
    </row>
    <row r="94" spans="1:10" x14ac:dyDescent="0.35">
      <c r="A94" s="4">
        <f t="shared" si="5"/>
        <v>90</v>
      </c>
      <c r="B94" s="6">
        <v>0</v>
      </c>
      <c r="C94" s="7">
        <f>B94/A94</f>
        <v>0</v>
      </c>
      <c r="D94" s="5">
        <f>SUM(C94:C185)</f>
        <v>6.4866760168302946</v>
      </c>
      <c r="E94" s="18"/>
      <c r="F94" s="19">
        <f t="shared" si="4"/>
        <v>-6.4866760168302946</v>
      </c>
      <c r="G94" s="18"/>
      <c r="H94" s="18" t="s">
        <v>16</v>
      </c>
      <c r="I94" s="28"/>
      <c r="J94" s="28"/>
    </row>
    <row r="95" spans="1:10" x14ac:dyDescent="0.35">
      <c r="A95" s="4">
        <f t="shared" si="5"/>
        <v>91</v>
      </c>
      <c r="B95" s="6">
        <v>0</v>
      </c>
      <c r="C95" s="7">
        <f>B95/A95</f>
        <v>0</v>
      </c>
      <c r="D95" s="5">
        <f>SUM(C95:C186)</f>
        <v>6.4866760168302946</v>
      </c>
      <c r="E95" s="18"/>
      <c r="F95" s="19">
        <f t="shared" si="4"/>
        <v>-6.4866760168302946</v>
      </c>
      <c r="G95" s="18"/>
      <c r="H95" s="18" t="s">
        <v>16</v>
      </c>
      <c r="I95" s="28"/>
      <c r="J95" s="28"/>
    </row>
    <row r="96" spans="1:10" x14ac:dyDescent="0.35">
      <c r="A96" s="12">
        <f t="shared" si="5"/>
        <v>92</v>
      </c>
      <c r="B96" s="13">
        <v>300</v>
      </c>
      <c r="C96" s="14">
        <f>B96/A96</f>
        <v>3.2608695652173911</v>
      </c>
      <c r="D96" s="15">
        <f t="shared" ref="D96:D97" si="7">SUM(C96:C187)+$G$5+$G$80</f>
        <v>13.504459874559434</v>
      </c>
      <c r="E96" s="16"/>
      <c r="F96" s="17">
        <f t="shared" si="4"/>
        <v>-13.504459874559434</v>
      </c>
      <c r="G96" s="28"/>
      <c r="H96" s="28" t="s">
        <v>15</v>
      </c>
      <c r="I96" s="28"/>
      <c r="J96" s="28"/>
    </row>
    <row r="97" spans="1:10" x14ac:dyDescent="0.35">
      <c r="A97" s="12">
        <f t="shared" si="5"/>
        <v>93</v>
      </c>
      <c r="B97" s="13">
        <v>300</v>
      </c>
      <c r="C97" s="14">
        <f>B97/A97</f>
        <v>3.225806451612903</v>
      </c>
      <c r="D97" s="15">
        <f t="shared" si="7"/>
        <v>10.243590309342041</v>
      </c>
      <c r="E97" s="16"/>
      <c r="F97" s="17">
        <f t="shared" si="4"/>
        <v>-10.243590309342041</v>
      </c>
      <c r="G97" s="28"/>
      <c r="H97" s="28" t="s">
        <v>15</v>
      </c>
      <c r="I97" s="28"/>
      <c r="J97" s="28"/>
    </row>
    <row r="98" spans="1:10" x14ac:dyDescent="0.35">
      <c r="A98" s="1"/>
      <c r="B98" s="1"/>
      <c r="C98" s="2"/>
      <c r="D98" s="3"/>
    </row>
    <row r="99" spans="1:10" x14ac:dyDescent="0.35">
      <c r="A99" s="1"/>
      <c r="B99" s="1"/>
      <c r="C99" s="2"/>
      <c r="D99" s="3"/>
    </row>
    <row r="100" spans="1:10" x14ac:dyDescent="0.35">
      <c r="A100" s="1"/>
      <c r="B100" s="1"/>
      <c r="C100" s="2"/>
      <c r="D100" s="3"/>
    </row>
    <row r="101" spans="1:10" x14ac:dyDescent="0.35">
      <c r="A101" s="1"/>
      <c r="B101" s="1"/>
      <c r="C101" s="2"/>
      <c r="D101" s="3"/>
    </row>
    <row r="102" spans="1:10" x14ac:dyDescent="0.35">
      <c r="A102" s="1"/>
      <c r="B102" s="1"/>
      <c r="C102" s="2"/>
      <c r="D102" s="3"/>
    </row>
    <row r="103" spans="1:10" x14ac:dyDescent="0.35">
      <c r="A103" s="1"/>
      <c r="B103" s="1"/>
      <c r="C103" s="2"/>
      <c r="D103" s="3"/>
    </row>
    <row r="104" spans="1:10" x14ac:dyDescent="0.35">
      <c r="A104" s="1"/>
      <c r="B104" s="1"/>
      <c r="C104" s="2"/>
      <c r="D104" s="3"/>
    </row>
  </sheetData>
  <autoFilter ref="A4:D104"/>
  <mergeCells count="2">
    <mergeCell ref="A2:J2"/>
    <mergeCell ref="L2:N2"/>
  </mergeCells>
  <hyperlinks>
    <hyperlink ref="H80" r:id="rId1"/>
    <hyperlink ref="H16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4"/>
  <sheetViews>
    <sheetView tabSelected="1" topLeftCell="A2" workbookViewId="0">
      <selection activeCell="K6" sqref="K6"/>
    </sheetView>
  </sheetViews>
  <sheetFormatPr defaultRowHeight="14.5" x14ac:dyDescent="0.35"/>
  <cols>
    <col min="1" max="1" width="9.81640625" bestFit="1" customWidth="1"/>
    <col min="4" max="4" width="10.08984375" customWidth="1"/>
    <col min="5" max="5" width="13.36328125" customWidth="1"/>
    <col min="6" max="6" width="11.54296875" customWidth="1"/>
    <col min="7" max="7" width="13.81640625" bestFit="1" customWidth="1"/>
    <col min="8" max="8" width="52.36328125" customWidth="1"/>
    <col min="10" max="10" width="10.08984375" bestFit="1" customWidth="1"/>
    <col min="12" max="12" width="20.54296875" bestFit="1" customWidth="1"/>
    <col min="13" max="13" width="11.1796875" bestFit="1" customWidth="1"/>
    <col min="14" max="14" width="11.08984375" bestFit="1" customWidth="1"/>
    <col min="15" max="15" width="47.26953125" customWidth="1"/>
  </cols>
  <sheetData>
    <row r="2" spans="1:15" x14ac:dyDescent="0.35">
      <c r="A2" s="22" t="s">
        <v>10</v>
      </c>
      <c r="B2" s="22"/>
      <c r="C2" s="22"/>
      <c r="D2" s="22"/>
      <c r="E2" s="22"/>
      <c r="F2" s="22"/>
      <c r="G2" s="22"/>
      <c r="H2" s="22"/>
      <c r="I2" s="22"/>
      <c r="J2" s="22"/>
      <c r="L2" s="22" t="s">
        <v>20</v>
      </c>
      <c r="M2" s="22"/>
      <c r="N2" s="22"/>
    </row>
    <row r="4" spans="1:15" ht="42.5" customHeight="1" x14ac:dyDescent="0.35">
      <c r="A4" s="8" t="s">
        <v>1</v>
      </c>
      <c r="B4" s="8" t="s">
        <v>0</v>
      </c>
      <c r="C4" s="8" t="s">
        <v>7</v>
      </c>
      <c r="D4" s="8" t="s">
        <v>8</v>
      </c>
      <c r="E4" s="8" t="s">
        <v>4</v>
      </c>
      <c r="F4" s="8" t="s">
        <v>3</v>
      </c>
      <c r="G4" s="8" t="s">
        <v>26</v>
      </c>
      <c r="H4" s="8" t="s">
        <v>2</v>
      </c>
      <c r="I4" s="8" t="s">
        <v>17</v>
      </c>
      <c r="J4" s="8" t="s">
        <v>18</v>
      </c>
      <c r="L4" s="8" t="s">
        <v>19</v>
      </c>
      <c r="M4" s="8" t="s">
        <v>5</v>
      </c>
      <c r="N4" s="8" t="s">
        <v>6</v>
      </c>
      <c r="O4" s="8" t="s">
        <v>2</v>
      </c>
    </row>
    <row r="5" spans="1:15" x14ac:dyDescent="0.35">
      <c r="A5" s="9">
        <v>1</v>
      </c>
      <c r="B5" s="10">
        <v>300</v>
      </c>
      <c r="C5" s="11">
        <f>(B5/85)</f>
        <v>3.5294117647058822</v>
      </c>
      <c r="D5" s="15">
        <f>C5+$G$16+$G$80</f>
        <v>34.290511130456416</v>
      </c>
      <c r="E5" s="43">
        <v>33.94</v>
      </c>
      <c r="F5" s="17">
        <f>E5-D5</f>
        <v>-0.35051113045641813</v>
      </c>
      <c r="G5" s="29">
        <f>B5/85</f>
        <v>3.5294117647058822</v>
      </c>
      <c r="H5" s="28" t="s">
        <v>13</v>
      </c>
      <c r="I5" s="21">
        <f>B5*2</f>
        <v>600</v>
      </c>
      <c r="J5" s="21">
        <f>1500+D5</f>
        <v>1534.2905111304565</v>
      </c>
      <c r="L5" s="28" t="s">
        <v>21</v>
      </c>
      <c r="M5" s="34">
        <f>(87*300)+1*300</f>
        <v>26400</v>
      </c>
      <c r="N5" s="34">
        <f>(87*300)+1*300</f>
        <v>26400</v>
      </c>
      <c r="O5" s="35" t="s">
        <v>24</v>
      </c>
    </row>
    <row r="6" spans="1:15" x14ac:dyDescent="0.35">
      <c r="A6" s="12">
        <f>A5+1</f>
        <v>2</v>
      </c>
      <c r="B6" s="13">
        <v>300</v>
      </c>
      <c r="C6" s="14">
        <f>B6/A6</f>
        <v>150</v>
      </c>
      <c r="D6" s="15">
        <f>SUM(C6:C97)+$G$16+$G$5</f>
        <v>1218.6193575568909</v>
      </c>
      <c r="E6" s="43">
        <v>1290.8499999999999</v>
      </c>
      <c r="F6" s="17">
        <f t="shared" ref="F6:F69" si="0">E6-D6</f>
        <v>72.230642443108991</v>
      </c>
      <c r="G6" s="28"/>
      <c r="H6" s="28" t="s">
        <v>14</v>
      </c>
      <c r="I6" s="29"/>
      <c r="J6" s="28"/>
      <c r="L6" s="28" t="s">
        <v>22</v>
      </c>
      <c r="M6" s="29">
        <f>I5+SUM(B6:B97)</f>
        <v>26400</v>
      </c>
      <c r="N6" s="29">
        <f>J5+SUM(D6:D97)</f>
        <v>26261.009442447128</v>
      </c>
      <c r="O6" s="42" t="s">
        <v>25</v>
      </c>
    </row>
    <row r="7" spans="1:15" x14ac:dyDescent="0.35">
      <c r="A7" s="12">
        <f>A6+1</f>
        <v>3</v>
      </c>
      <c r="B7" s="13">
        <v>300</v>
      </c>
      <c r="C7" s="14">
        <f>B7/A7</f>
        <v>100</v>
      </c>
      <c r="D7" s="15">
        <f>SUM(C7:C98)+$G$16+$G$5</f>
        <v>1068.6193575568909</v>
      </c>
      <c r="E7" s="43">
        <v>1148.48</v>
      </c>
      <c r="F7" s="17">
        <f t="shared" si="0"/>
        <v>79.8606424431091</v>
      </c>
      <c r="G7" s="28"/>
      <c r="H7" s="28" t="s">
        <v>14</v>
      </c>
      <c r="I7" s="28"/>
      <c r="J7" s="28"/>
      <c r="L7" s="38" t="s">
        <v>3</v>
      </c>
      <c r="M7" s="38">
        <f>M5-M6</f>
        <v>0</v>
      </c>
      <c r="N7" s="41">
        <f>N5-N6</f>
        <v>138.99055755287191</v>
      </c>
      <c r="O7" s="36" t="s">
        <v>23</v>
      </c>
    </row>
    <row r="8" spans="1:15" ht="15" thickBot="1" x14ac:dyDescent="0.4">
      <c r="A8" s="12">
        <f t="shared" ref="A8:A71" si="1">A7+1</f>
        <v>4</v>
      </c>
      <c r="B8" s="13">
        <v>300</v>
      </c>
      <c r="C8" s="14">
        <f>B8/A8</f>
        <v>75</v>
      </c>
      <c r="D8" s="15">
        <f>SUM(C8:C99)+$G$16+$G$5</f>
        <v>968.6193575568908</v>
      </c>
      <c r="E8" s="43">
        <v>1053.56</v>
      </c>
      <c r="F8" s="17">
        <f t="shared" si="0"/>
        <v>84.940642443109141</v>
      </c>
      <c r="G8" s="28"/>
      <c r="H8" s="28" t="s">
        <v>14</v>
      </c>
      <c r="I8" s="28"/>
      <c r="J8" s="28"/>
      <c r="L8" s="39"/>
      <c r="M8" s="40"/>
      <c r="N8" s="40"/>
      <c r="O8" s="37"/>
    </row>
    <row r="9" spans="1:15" ht="15" thickTop="1" x14ac:dyDescent="0.35">
      <c r="A9" s="12">
        <f t="shared" si="1"/>
        <v>5</v>
      </c>
      <c r="B9" s="13">
        <v>300</v>
      </c>
      <c r="C9" s="14">
        <f>B9/A9</f>
        <v>60</v>
      </c>
      <c r="D9" s="15">
        <f>SUM(C9:C100)+$G$16+$G$5</f>
        <v>893.61935755689069</v>
      </c>
      <c r="E9" s="43">
        <v>982.37</v>
      </c>
      <c r="F9" s="17">
        <f t="shared" si="0"/>
        <v>88.750642443109314</v>
      </c>
      <c r="G9" s="28"/>
      <c r="H9" s="28" t="s">
        <v>14</v>
      </c>
      <c r="I9" s="28"/>
      <c r="J9" s="28"/>
    </row>
    <row r="10" spans="1:15" x14ac:dyDescent="0.35">
      <c r="A10" s="12">
        <f t="shared" si="1"/>
        <v>6</v>
      </c>
      <c r="B10" s="13">
        <v>300</v>
      </c>
      <c r="C10" s="14">
        <f t="shared" ref="C10:C14" si="2">B10/A10</f>
        <v>50</v>
      </c>
      <c r="D10" s="15">
        <f>SUM(C10:C101)+$G$16+$G$5</f>
        <v>833.6193575568908</v>
      </c>
      <c r="E10" s="43">
        <v>925.42</v>
      </c>
      <c r="F10" s="17">
        <f t="shared" si="0"/>
        <v>91.800642443109155</v>
      </c>
      <c r="G10" s="28"/>
      <c r="H10" s="28" t="s">
        <v>14</v>
      </c>
      <c r="I10" s="28"/>
      <c r="J10" s="28"/>
    </row>
    <row r="11" spans="1:15" x14ac:dyDescent="0.35">
      <c r="A11" s="12">
        <f t="shared" si="1"/>
        <v>7</v>
      </c>
      <c r="B11" s="13">
        <v>300</v>
      </c>
      <c r="C11" s="14">
        <f t="shared" si="2"/>
        <v>42.857142857142854</v>
      </c>
      <c r="D11" s="15">
        <f>SUM(C11:C102)+$G$16+$G$5</f>
        <v>783.61935755689058</v>
      </c>
      <c r="E11" s="43">
        <v>877.97</v>
      </c>
      <c r="F11" s="17">
        <f t="shared" si="0"/>
        <v>94.35064244310945</v>
      </c>
      <c r="G11" s="28"/>
      <c r="H11" s="28" t="s">
        <v>14</v>
      </c>
      <c r="I11" s="28"/>
      <c r="J11" s="28"/>
    </row>
    <row r="12" spans="1:15" x14ac:dyDescent="0.35">
      <c r="A12" s="12">
        <f t="shared" si="1"/>
        <v>8</v>
      </c>
      <c r="B12" s="13">
        <v>300</v>
      </c>
      <c r="C12" s="14">
        <f t="shared" si="2"/>
        <v>37.5</v>
      </c>
      <c r="D12" s="15">
        <f>SUM(C12:C103)+$G$16+$G$5</f>
        <v>740.76221469974769</v>
      </c>
      <c r="E12" s="43">
        <v>837.29</v>
      </c>
      <c r="F12" s="17">
        <f t="shared" si="0"/>
        <v>96.527785300252276</v>
      </c>
      <c r="G12" s="28"/>
      <c r="H12" s="28" t="s">
        <v>14</v>
      </c>
      <c r="I12" s="28"/>
      <c r="J12" s="28"/>
    </row>
    <row r="13" spans="1:15" x14ac:dyDescent="0.35">
      <c r="A13" s="12">
        <f t="shared" si="1"/>
        <v>9</v>
      </c>
      <c r="B13" s="13">
        <v>300</v>
      </c>
      <c r="C13" s="14">
        <f t="shared" si="2"/>
        <v>33.333333333333336</v>
      </c>
      <c r="D13" s="15">
        <f>SUM(C13:C104)+$G$16+$G$5</f>
        <v>703.2622146997478</v>
      </c>
      <c r="E13" s="43">
        <v>667.41</v>
      </c>
      <c r="F13" s="17">
        <f t="shared" si="0"/>
        <v>-35.852214699747833</v>
      </c>
      <c r="G13" s="28"/>
      <c r="H13" s="28" t="s">
        <v>14</v>
      </c>
      <c r="I13" s="28"/>
      <c r="J13" s="28"/>
    </row>
    <row r="14" spans="1:15" x14ac:dyDescent="0.35">
      <c r="A14" s="12">
        <f t="shared" si="1"/>
        <v>10</v>
      </c>
      <c r="B14" s="13">
        <v>300</v>
      </c>
      <c r="C14" s="14">
        <f t="shared" si="2"/>
        <v>30</v>
      </c>
      <c r="D14" s="15">
        <f>SUM(C14:C105)+$G$16+$G$5</f>
        <v>669.92888136641443</v>
      </c>
      <c r="E14" s="43">
        <v>770.06</v>
      </c>
      <c r="F14" s="17">
        <f t="shared" si="0"/>
        <v>100.13111863358552</v>
      </c>
      <c r="G14" s="28"/>
      <c r="H14" s="28" t="s">
        <v>14</v>
      </c>
      <c r="I14" s="28"/>
      <c r="J14" s="28"/>
    </row>
    <row r="15" spans="1:15" x14ac:dyDescent="0.35">
      <c r="A15" s="12">
        <f t="shared" si="1"/>
        <v>11</v>
      </c>
      <c r="B15" s="13">
        <v>300</v>
      </c>
      <c r="C15" s="14">
        <f>B15/A15</f>
        <v>27.272727272727273</v>
      </c>
      <c r="D15" s="15">
        <f>SUM(C15:C106)+$G$16+$G$5</f>
        <v>639.9288813664142</v>
      </c>
      <c r="E15" s="43">
        <v>741.58</v>
      </c>
      <c r="F15" s="17">
        <f t="shared" si="0"/>
        <v>101.65111863358584</v>
      </c>
      <c r="G15" s="28"/>
      <c r="H15" s="28" t="s">
        <v>14</v>
      </c>
      <c r="I15" s="28"/>
      <c r="J15" s="28"/>
    </row>
    <row r="16" spans="1:15" ht="43.5" x14ac:dyDescent="0.35">
      <c r="A16" s="23">
        <f t="shared" si="1"/>
        <v>12</v>
      </c>
      <c r="B16" s="24">
        <v>300</v>
      </c>
      <c r="C16" s="25">
        <v>0</v>
      </c>
      <c r="D16" s="20">
        <f>SUM(C16:C107)-G80</f>
        <v>578.3656429632307</v>
      </c>
      <c r="E16" s="25">
        <v>73.87</v>
      </c>
      <c r="F16" s="27">
        <f t="shared" si="0"/>
        <v>-504.49564296323069</v>
      </c>
      <c r="G16" s="25">
        <f>B16/11</f>
        <v>27.272727272727273</v>
      </c>
      <c r="H16" s="31" t="s">
        <v>11</v>
      </c>
      <c r="I16" s="28"/>
      <c r="J16" s="28"/>
    </row>
    <row r="17" spans="1:10" x14ac:dyDescent="0.35">
      <c r="A17" s="12">
        <f t="shared" si="1"/>
        <v>13</v>
      </c>
      <c r="B17" s="13">
        <v>300</v>
      </c>
      <c r="C17" s="14">
        <f>B17/A17</f>
        <v>23.076923076923077</v>
      </c>
      <c r="D17" s="15">
        <f>SUM(C17:C108)+$G$5</f>
        <v>585.38342682095981</v>
      </c>
      <c r="E17" s="43">
        <v>690.7</v>
      </c>
      <c r="F17" s="17">
        <f t="shared" si="0"/>
        <v>105.31657317904023</v>
      </c>
      <c r="G17" s="28"/>
      <c r="H17" s="28" t="s">
        <v>15</v>
      </c>
      <c r="I17" s="28"/>
      <c r="J17" s="28"/>
    </row>
    <row r="18" spans="1:10" x14ac:dyDescent="0.35">
      <c r="A18" s="12">
        <f t="shared" si="1"/>
        <v>14</v>
      </c>
      <c r="B18" s="13">
        <v>300</v>
      </c>
      <c r="C18" s="14">
        <f>B18/A18</f>
        <v>21.428571428571427</v>
      </c>
      <c r="D18" s="15">
        <f>SUM(C18:C109)+$G$5</f>
        <v>562.3065037440366</v>
      </c>
      <c r="E18" s="43">
        <v>668.79</v>
      </c>
      <c r="F18" s="17">
        <f t="shared" si="0"/>
        <v>106.48349625596336</v>
      </c>
      <c r="G18" s="28"/>
      <c r="H18" s="28" t="s">
        <v>15</v>
      </c>
      <c r="I18" s="28"/>
      <c r="J18" s="28"/>
    </row>
    <row r="19" spans="1:10" x14ac:dyDescent="0.35">
      <c r="A19" s="12">
        <f t="shared" si="1"/>
        <v>15</v>
      </c>
      <c r="B19" s="13">
        <v>300</v>
      </c>
      <c r="C19" s="14">
        <f>B19/A19</f>
        <v>20</v>
      </c>
      <c r="D19" s="15">
        <f>SUM(C19:C110)+$G$5</f>
        <v>540.87793231546539</v>
      </c>
      <c r="E19" s="43">
        <v>648.45000000000005</v>
      </c>
      <c r="F19" s="17">
        <f t="shared" si="0"/>
        <v>107.57206768453466</v>
      </c>
      <c r="G19" s="28"/>
      <c r="H19" s="28" t="s">
        <v>15</v>
      </c>
      <c r="I19" s="28"/>
      <c r="J19" s="28"/>
    </row>
    <row r="20" spans="1:10" x14ac:dyDescent="0.35">
      <c r="A20" s="12">
        <f t="shared" si="1"/>
        <v>16</v>
      </c>
      <c r="B20" s="13">
        <v>300</v>
      </c>
      <c r="C20" s="14">
        <f>B20/A20</f>
        <v>18.75</v>
      </c>
      <c r="D20" s="15">
        <f>SUM(C20:C111)+$G$5</f>
        <v>520.87793231546539</v>
      </c>
      <c r="E20" s="43">
        <v>629.47</v>
      </c>
      <c r="F20" s="17">
        <f t="shared" si="0"/>
        <v>108.59206768453464</v>
      </c>
      <c r="G20" s="28"/>
      <c r="H20" s="28" t="s">
        <v>15</v>
      </c>
      <c r="I20" s="28"/>
      <c r="J20" s="28"/>
    </row>
    <row r="21" spans="1:10" x14ac:dyDescent="0.35">
      <c r="A21" s="12">
        <f t="shared" si="1"/>
        <v>17</v>
      </c>
      <c r="B21" s="13">
        <v>300</v>
      </c>
      <c r="C21" s="14">
        <f>B21/A21</f>
        <v>17.647058823529413</v>
      </c>
      <c r="D21" s="15">
        <f>SUM(C21:C112)+$G$5</f>
        <v>502.12793231546539</v>
      </c>
      <c r="E21" s="43">
        <v>611.66999999999996</v>
      </c>
      <c r="F21" s="17">
        <f t="shared" si="0"/>
        <v>109.54206768453457</v>
      </c>
      <c r="G21" s="28"/>
      <c r="H21" s="28" t="s">
        <v>15</v>
      </c>
      <c r="I21" s="28"/>
      <c r="J21" s="28"/>
    </row>
    <row r="22" spans="1:10" x14ac:dyDescent="0.35">
      <c r="A22" s="12">
        <f t="shared" si="1"/>
        <v>18</v>
      </c>
      <c r="B22" s="13">
        <v>300</v>
      </c>
      <c r="C22" s="14">
        <f>B22/A22</f>
        <v>16.666666666666668</v>
      </c>
      <c r="D22" s="15">
        <f>SUM(C22:C113)+$G$5</f>
        <v>484.48087349193594</v>
      </c>
      <c r="E22" s="43">
        <v>594.91999999999996</v>
      </c>
      <c r="F22" s="17">
        <f t="shared" si="0"/>
        <v>110.43912650806402</v>
      </c>
      <c r="G22" s="28"/>
      <c r="H22" s="28" t="s">
        <v>15</v>
      </c>
      <c r="I22" s="28"/>
      <c r="J22" s="28"/>
    </row>
    <row r="23" spans="1:10" x14ac:dyDescent="0.35">
      <c r="A23" s="12">
        <f t="shared" si="1"/>
        <v>19</v>
      </c>
      <c r="B23" s="13">
        <v>300</v>
      </c>
      <c r="C23" s="14">
        <f>B23/A23</f>
        <v>15.789473684210526</v>
      </c>
      <c r="D23" s="15">
        <f>SUM(C23:C114)+$G$5</f>
        <v>467.8142068252692</v>
      </c>
      <c r="E23" s="43">
        <v>579.11</v>
      </c>
      <c r="F23" s="17">
        <f t="shared" si="0"/>
        <v>111.29579317473082</v>
      </c>
      <c r="G23" s="28"/>
      <c r="H23" s="28" t="s">
        <v>15</v>
      </c>
      <c r="I23" s="28"/>
      <c r="J23" s="28"/>
    </row>
    <row r="24" spans="1:10" x14ac:dyDescent="0.35">
      <c r="A24" s="12">
        <f t="shared" si="1"/>
        <v>20</v>
      </c>
      <c r="B24" s="13">
        <v>300</v>
      </c>
      <c r="C24" s="14">
        <f>B24/A24</f>
        <v>15</v>
      </c>
      <c r="D24" s="15">
        <f>SUM(C24:C115)+$G$5</f>
        <v>452.02473314105868</v>
      </c>
      <c r="E24" s="43">
        <v>564.12</v>
      </c>
      <c r="F24" s="17">
        <f t="shared" si="0"/>
        <v>112.09526685894133</v>
      </c>
      <c r="G24" s="28"/>
      <c r="H24" s="28" t="s">
        <v>15</v>
      </c>
      <c r="I24" s="28"/>
      <c r="J24" s="28"/>
    </row>
    <row r="25" spans="1:10" x14ac:dyDescent="0.35">
      <c r="A25" s="12">
        <f t="shared" si="1"/>
        <v>21</v>
      </c>
      <c r="B25" s="13">
        <v>300</v>
      </c>
      <c r="C25" s="14">
        <f>B25/A25</f>
        <v>14.285714285714286</v>
      </c>
      <c r="D25" s="15">
        <f>SUM(C25:C116)+$G$5</f>
        <v>437.02473314105862</v>
      </c>
      <c r="E25" s="43">
        <v>549.88</v>
      </c>
      <c r="F25" s="17">
        <f t="shared" si="0"/>
        <v>112.85526685894138</v>
      </c>
      <c r="G25" s="28"/>
      <c r="H25" s="28" t="s">
        <v>15</v>
      </c>
      <c r="I25" s="28"/>
      <c r="J25" s="28"/>
    </row>
    <row r="26" spans="1:10" x14ac:dyDescent="0.35">
      <c r="A26" s="12">
        <f t="shared" si="1"/>
        <v>22</v>
      </c>
      <c r="B26" s="13">
        <v>300</v>
      </c>
      <c r="C26" s="14">
        <f>B26/A26</f>
        <v>13.636363636363637</v>
      </c>
      <c r="D26" s="15">
        <f>SUM(C26:C117)+$G$5</f>
        <v>422.73901885534434</v>
      </c>
      <c r="E26" s="43">
        <v>536.32000000000005</v>
      </c>
      <c r="F26" s="17">
        <f t="shared" si="0"/>
        <v>113.58098114465571</v>
      </c>
      <c r="G26" s="28"/>
      <c r="H26" s="28" t="s">
        <v>15</v>
      </c>
      <c r="I26" s="28"/>
      <c r="J26" s="28"/>
    </row>
    <row r="27" spans="1:10" x14ac:dyDescent="0.35">
      <c r="A27" s="12">
        <f t="shared" si="1"/>
        <v>23</v>
      </c>
      <c r="B27" s="13">
        <v>300</v>
      </c>
      <c r="C27" s="14">
        <f>B27/A27</f>
        <v>13.043478260869565</v>
      </c>
      <c r="D27" s="15">
        <f>SUM(C27:C118)+$G$5</f>
        <v>409.10265521898071</v>
      </c>
      <c r="E27" s="43">
        <v>523.38</v>
      </c>
      <c r="F27" s="17">
        <f t="shared" si="0"/>
        <v>114.27734478101928</v>
      </c>
      <c r="G27" s="28"/>
      <c r="H27" s="28" t="s">
        <v>15</v>
      </c>
      <c r="I27" s="28"/>
      <c r="J27" s="28"/>
    </row>
    <row r="28" spans="1:10" x14ac:dyDescent="0.35">
      <c r="A28" s="12">
        <f t="shared" si="1"/>
        <v>24</v>
      </c>
      <c r="B28" s="13">
        <v>300</v>
      </c>
      <c r="C28" s="14">
        <f>B28/A28</f>
        <v>12.5</v>
      </c>
      <c r="D28" s="15">
        <f>SUM(C28:C119)+$G$5</f>
        <v>396.05917695811115</v>
      </c>
      <c r="E28" s="43">
        <v>511</v>
      </c>
      <c r="F28" s="17">
        <f t="shared" si="0"/>
        <v>114.94082304188885</v>
      </c>
      <c r="G28" s="28"/>
      <c r="H28" s="28" t="s">
        <v>15</v>
      </c>
      <c r="I28" s="28"/>
      <c r="J28" s="28"/>
    </row>
    <row r="29" spans="1:10" x14ac:dyDescent="0.35">
      <c r="A29" s="12">
        <f t="shared" si="1"/>
        <v>25</v>
      </c>
      <c r="B29" s="13">
        <v>300</v>
      </c>
      <c r="C29" s="14">
        <f>B29/A29</f>
        <v>12</v>
      </c>
      <c r="D29" s="15">
        <f>SUM(C29:C120)+$G$5</f>
        <v>383.55917695811127</v>
      </c>
      <c r="E29" s="43">
        <v>499.13</v>
      </c>
      <c r="F29" s="17">
        <f t="shared" si="0"/>
        <v>115.57082304188873</v>
      </c>
      <c r="G29" s="28"/>
      <c r="H29" s="28" t="s">
        <v>15</v>
      </c>
      <c r="I29" s="28"/>
      <c r="J29" s="28"/>
    </row>
    <row r="30" spans="1:10" x14ac:dyDescent="0.35">
      <c r="A30" s="12">
        <f t="shared" si="1"/>
        <v>26</v>
      </c>
      <c r="B30" s="13">
        <v>300</v>
      </c>
      <c r="C30" s="14">
        <f>B30/A30</f>
        <v>11.538461538461538</v>
      </c>
      <c r="D30" s="15">
        <f>SUM(C30:C121)+$G$5</f>
        <v>371.55917695811127</v>
      </c>
      <c r="E30" s="43">
        <v>487.74</v>
      </c>
      <c r="F30" s="17">
        <f t="shared" si="0"/>
        <v>116.18082304188874</v>
      </c>
      <c r="G30" s="28"/>
      <c r="H30" s="28" t="s">
        <v>15</v>
      </c>
      <c r="I30" s="28"/>
      <c r="J30" s="28"/>
    </row>
    <row r="31" spans="1:10" x14ac:dyDescent="0.35">
      <c r="A31" s="12">
        <f t="shared" si="1"/>
        <v>27</v>
      </c>
      <c r="B31" s="13">
        <v>300</v>
      </c>
      <c r="C31" s="14">
        <f>B31/A31</f>
        <v>11.111111111111111</v>
      </c>
      <c r="D31" s="15">
        <f>SUM(C31:C122)+$G$5</f>
        <v>360.02071541964978</v>
      </c>
      <c r="E31" s="43">
        <v>476.79</v>
      </c>
      <c r="F31" s="17">
        <f t="shared" si="0"/>
        <v>116.76928458035025</v>
      </c>
      <c r="G31" s="28"/>
      <c r="H31" s="28" t="s">
        <v>15</v>
      </c>
      <c r="I31" s="28"/>
      <c r="J31" s="28"/>
    </row>
    <row r="32" spans="1:10" x14ac:dyDescent="0.35">
      <c r="A32" s="12">
        <f t="shared" si="1"/>
        <v>28</v>
      </c>
      <c r="B32" s="13">
        <v>300</v>
      </c>
      <c r="C32" s="14">
        <f>B32/A32</f>
        <v>10.714285714285714</v>
      </c>
      <c r="D32" s="15">
        <f t="shared" ref="D32:D76" si="3">SUM(C32:C123)+$G$5</f>
        <v>348.90960430853863</v>
      </c>
      <c r="E32" s="43">
        <v>466.25</v>
      </c>
      <c r="F32" s="17">
        <f t="shared" si="0"/>
        <v>117.34039569146137</v>
      </c>
      <c r="G32" s="28"/>
      <c r="H32" s="28" t="s">
        <v>15</v>
      </c>
      <c r="I32" s="28"/>
      <c r="J32" s="28"/>
    </row>
    <row r="33" spans="1:10" x14ac:dyDescent="0.35">
      <c r="A33" s="12">
        <f t="shared" si="1"/>
        <v>29</v>
      </c>
      <c r="B33" s="13">
        <v>300</v>
      </c>
      <c r="C33" s="14">
        <f>B33/A33</f>
        <v>10.344827586206897</v>
      </c>
      <c r="D33" s="15">
        <f t="shared" si="3"/>
        <v>338.19531859425291</v>
      </c>
      <c r="E33" s="43">
        <v>456.08</v>
      </c>
      <c r="F33" s="17">
        <f t="shared" si="0"/>
        <v>117.88468140574707</v>
      </c>
      <c r="G33" s="28"/>
      <c r="H33" s="28" t="s">
        <v>15</v>
      </c>
      <c r="I33" s="28"/>
      <c r="J33" s="28"/>
    </row>
    <row r="34" spans="1:10" x14ac:dyDescent="0.35">
      <c r="A34" s="12">
        <f t="shared" si="1"/>
        <v>30</v>
      </c>
      <c r="B34" s="13">
        <v>300</v>
      </c>
      <c r="C34" s="14">
        <f>B34/A34</f>
        <v>10</v>
      </c>
      <c r="D34" s="15">
        <f t="shared" si="3"/>
        <v>327.85049100804599</v>
      </c>
      <c r="E34" s="43">
        <v>446.26</v>
      </c>
      <c r="F34" s="17">
        <f t="shared" si="0"/>
        <v>118.409508991954</v>
      </c>
      <c r="G34" s="28"/>
      <c r="H34" s="28" t="s">
        <v>15</v>
      </c>
      <c r="I34" s="28"/>
      <c r="J34" s="28"/>
    </row>
    <row r="35" spans="1:10" x14ac:dyDescent="0.35">
      <c r="A35" s="12">
        <f t="shared" si="1"/>
        <v>31</v>
      </c>
      <c r="B35" s="13">
        <v>300</v>
      </c>
      <c r="C35" s="14">
        <f>B35/A35</f>
        <v>9.67741935483871</v>
      </c>
      <c r="D35" s="15">
        <f t="shared" si="3"/>
        <v>317.85049100804605</v>
      </c>
      <c r="E35" s="43">
        <v>436.77</v>
      </c>
      <c r="F35" s="17">
        <f t="shared" si="0"/>
        <v>118.91950899195393</v>
      </c>
      <c r="G35" s="28"/>
      <c r="H35" s="28" t="s">
        <v>15</v>
      </c>
      <c r="I35" s="28"/>
      <c r="J35" s="28"/>
    </row>
    <row r="36" spans="1:10" x14ac:dyDescent="0.35">
      <c r="A36" s="12">
        <f t="shared" si="1"/>
        <v>32</v>
      </c>
      <c r="B36" s="13">
        <v>300</v>
      </c>
      <c r="C36" s="14">
        <f>B36/A36</f>
        <v>9.375</v>
      </c>
      <c r="D36" s="15">
        <f t="shared" si="3"/>
        <v>308.17307165320727</v>
      </c>
      <c r="E36" s="43">
        <v>427.58</v>
      </c>
      <c r="F36" s="17">
        <f t="shared" si="0"/>
        <v>119.40692834679271</v>
      </c>
      <c r="G36" s="28"/>
      <c r="H36" s="28" t="s">
        <v>15</v>
      </c>
      <c r="I36" s="28"/>
      <c r="J36" s="28"/>
    </row>
    <row r="37" spans="1:10" x14ac:dyDescent="0.35">
      <c r="A37" s="12">
        <f t="shared" si="1"/>
        <v>33</v>
      </c>
      <c r="B37" s="13">
        <v>300</v>
      </c>
      <c r="C37" s="14">
        <f>B37/A37</f>
        <v>9.0909090909090917</v>
      </c>
      <c r="D37" s="15">
        <f t="shared" si="3"/>
        <v>298.79807165320727</v>
      </c>
      <c r="E37" s="43">
        <v>418.68</v>
      </c>
      <c r="F37" s="17">
        <f t="shared" si="0"/>
        <v>119.88192834679273</v>
      </c>
      <c r="G37" s="28"/>
      <c r="H37" s="28" t="s">
        <v>15</v>
      </c>
      <c r="I37" s="28"/>
      <c r="J37" s="28"/>
    </row>
    <row r="38" spans="1:10" x14ac:dyDescent="0.35">
      <c r="A38" s="12">
        <f t="shared" si="1"/>
        <v>34</v>
      </c>
      <c r="B38" s="13">
        <v>300</v>
      </c>
      <c r="C38" s="14">
        <f>B38/A38</f>
        <v>8.8235294117647065</v>
      </c>
      <c r="D38" s="15">
        <f t="shared" si="3"/>
        <v>289.70716256229821</v>
      </c>
      <c r="E38" s="43">
        <v>410.05</v>
      </c>
      <c r="F38" s="17">
        <f t="shared" si="0"/>
        <v>120.3428374377018</v>
      </c>
      <c r="G38" s="28"/>
      <c r="H38" s="28" t="s">
        <v>15</v>
      </c>
      <c r="I38" s="28"/>
      <c r="J38" s="28"/>
    </row>
    <row r="39" spans="1:10" x14ac:dyDescent="0.35">
      <c r="A39" s="12">
        <f t="shared" si="1"/>
        <v>35</v>
      </c>
      <c r="B39" s="13">
        <v>300</v>
      </c>
      <c r="C39" s="14">
        <f>B39/A39</f>
        <v>8.5714285714285712</v>
      </c>
      <c r="D39" s="15">
        <f t="shared" si="3"/>
        <v>280.88363315053346</v>
      </c>
      <c r="E39" s="43">
        <v>401.68</v>
      </c>
      <c r="F39" s="17">
        <f t="shared" si="0"/>
        <v>120.79636684946655</v>
      </c>
      <c r="G39" s="28"/>
      <c r="H39" s="28" t="s">
        <v>15</v>
      </c>
      <c r="I39" s="28"/>
      <c r="J39" s="28"/>
    </row>
    <row r="40" spans="1:10" x14ac:dyDescent="0.35">
      <c r="A40" s="12">
        <f t="shared" si="1"/>
        <v>36</v>
      </c>
      <c r="B40" s="13">
        <v>300</v>
      </c>
      <c r="C40" s="14">
        <f>B40/A40</f>
        <v>8.3333333333333339</v>
      </c>
      <c r="D40" s="15">
        <f t="shared" si="3"/>
        <v>272.3122045791049</v>
      </c>
      <c r="E40" s="43">
        <v>393.54</v>
      </c>
      <c r="F40" s="17">
        <f t="shared" si="0"/>
        <v>121.22779542089512</v>
      </c>
      <c r="G40" s="28"/>
      <c r="H40" s="28" t="s">
        <v>15</v>
      </c>
      <c r="I40" s="28"/>
      <c r="J40" s="28"/>
    </row>
    <row r="41" spans="1:10" x14ac:dyDescent="0.35">
      <c r="A41" s="12">
        <f t="shared" si="1"/>
        <v>37</v>
      </c>
      <c r="B41" s="13">
        <v>300</v>
      </c>
      <c r="C41" s="14">
        <f>B41/A41</f>
        <v>8.1081081081081088</v>
      </c>
      <c r="D41" s="15">
        <f t="shared" si="3"/>
        <v>263.97887124577159</v>
      </c>
      <c r="E41" s="43">
        <v>385.63</v>
      </c>
      <c r="F41" s="17">
        <f t="shared" si="0"/>
        <v>121.65112875422841</v>
      </c>
      <c r="G41" s="28"/>
      <c r="H41" s="28" t="s">
        <v>15</v>
      </c>
      <c r="I41" s="28"/>
      <c r="J41" s="28"/>
    </row>
    <row r="42" spans="1:10" x14ac:dyDescent="0.35">
      <c r="A42" s="12">
        <f t="shared" si="1"/>
        <v>38</v>
      </c>
      <c r="B42" s="13">
        <v>300</v>
      </c>
      <c r="C42" s="14">
        <f>B42/A42</f>
        <v>7.8947368421052628</v>
      </c>
      <c r="D42" s="15">
        <f t="shared" si="3"/>
        <v>255.87076313766346</v>
      </c>
      <c r="E42" s="43">
        <v>377.94</v>
      </c>
      <c r="F42" s="17">
        <f t="shared" si="0"/>
        <v>122.06923686233654</v>
      </c>
      <c r="G42" s="28"/>
      <c r="H42" s="28" t="s">
        <v>15</v>
      </c>
      <c r="I42" s="28"/>
      <c r="J42" s="28"/>
    </row>
    <row r="43" spans="1:10" x14ac:dyDescent="0.35">
      <c r="A43" s="12">
        <f t="shared" si="1"/>
        <v>39</v>
      </c>
      <c r="B43" s="13">
        <v>300</v>
      </c>
      <c r="C43" s="14">
        <f>B43/A43</f>
        <v>7.6923076923076925</v>
      </c>
      <c r="D43" s="15">
        <f t="shared" si="3"/>
        <v>247.9760262955582</v>
      </c>
      <c r="E43" s="43">
        <v>370.45</v>
      </c>
      <c r="F43" s="17">
        <f t="shared" si="0"/>
        <v>122.47397370444179</v>
      </c>
      <c r="G43" s="28"/>
      <c r="H43" s="28" t="s">
        <v>15</v>
      </c>
      <c r="I43" s="28"/>
      <c r="J43" s="28"/>
    </row>
    <row r="44" spans="1:10" x14ac:dyDescent="0.35">
      <c r="A44" s="12">
        <f t="shared" si="1"/>
        <v>40</v>
      </c>
      <c r="B44" s="13">
        <v>300</v>
      </c>
      <c r="C44" s="14">
        <f>B44/A44</f>
        <v>7.5</v>
      </c>
      <c r="D44" s="15">
        <f t="shared" si="3"/>
        <v>240.28371860325049</v>
      </c>
      <c r="E44" s="43">
        <v>363.14</v>
      </c>
      <c r="F44" s="17">
        <f t="shared" si="0"/>
        <v>122.85628139674949</v>
      </c>
      <c r="G44" s="28"/>
      <c r="H44" s="28" t="s">
        <v>15</v>
      </c>
      <c r="I44" s="28"/>
      <c r="J44" s="28"/>
    </row>
    <row r="45" spans="1:10" x14ac:dyDescent="0.35">
      <c r="A45" s="12">
        <f t="shared" si="1"/>
        <v>41</v>
      </c>
      <c r="B45" s="13">
        <v>300</v>
      </c>
      <c r="C45" s="14">
        <f>B45/A45</f>
        <v>7.3170731707317076</v>
      </c>
      <c r="D45" s="15">
        <f t="shared" si="3"/>
        <v>232.78371860325049</v>
      </c>
      <c r="E45" s="43">
        <v>356.03</v>
      </c>
      <c r="F45" s="17">
        <f t="shared" si="0"/>
        <v>123.24628139674948</v>
      </c>
      <c r="G45" s="28"/>
      <c r="H45" s="28" t="s">
        <v>15</v>
      </c>
      <c r="I45" s="28"/>
      <c r="J45" s="28"/>
    </row>
    <row r="46" spans="1:10" x14ac:dyDescent="0.35">
      <c r="A46" s="12">
        <f t="shared" si="1"/>
        <v>42</v>
      </c>
      <c r="B46" s="13">
        <v>300</v>
      </c>
      <c r="C46" s="14">
        <f>B46/A46</f>
        <v>7.1428571428571432</v>
      </c>
      <c r="D46" s="15">
        <f t="shared" si="3"/>
        <v>225.46664543251879</v>
      </c>
      <c r="E46" s="43">
        <v>349.08</v>
      </c>
      <c r="F46" s="17">
        <f t="shared" si="0"/>
        <v>123.6133545674812</v>
      </c>
      <c r="G46" s="28"/>
      <c r="H46" s="28" t="s">
        <v>15</v>
      </c>
      <c r="I46" s="28"/>
      <c r="J46" s="28"/>
    </row>
    <row r="47" spans="1:10" x14ac:dyDescent="0.35">
      <c r="A47" s="12">
        <f t="shared" si="1"/>
        <v>43</v>
      </c>
      <c r="B47" s="13">
        <v>300</v>
      </c>
      <c r="C47" s="14">
        <f>B47/A47</f>
        <v>6.9767441860465116</v>
      </c>
      <c r="D47" s="15">
        <f t="shared" si="3"/>
        <v>218.32378828966165</v>
      </c>
      <c r="E47" s="43">
        <v>342.3</v>
      </c>
      <c r="F47" s="17">
        <f t="shared" si="0"/>
        <v>123.97621171033836</v>
      </c>
      <c r="G47" s="28"/>
      <c r="H47" s="28" t="s">
        <v>15</v>
      </c>
      <c r="I47" s="28"/>
      <c r="J47" s="28"/>
    </row>
    <row r="48" spans="1:10" x14ac:dyDescent="0.35">
      <c r="A48" s="12">
        <f t="shared" si="1"/>
        <v>44</v>
      </c>
      <c r="B48" s="13">
        <v>300</v>
      </c>
      <c r="C48" s="14">
        <f>B48/A48</f>
        <v>6.8181818181818183</v>
      </c>
      <c r="D48" s="15">
        <f t="shared" si="3"/>
        <v>211.34704410361513</v>
      </c>
      <c r="E48" s="43">
        <v>335.68</v>
      </c>
      <c r="F48" s="17">
        <f t="shared" si="0"/>
        <v>124.33295589638487</v>
      </c>
      <c r="G48" s="28"/>
      <c r="H48" s="28" t="s">
        <v>15</v>
      </c>
      <c r="I48" s="28"/>
      <c r="J48" s="28"/>
    </row>
    <row r="49" spans="1:10" x14ac:dyDescent="0.35">
      <c r="A49" s="12">
        <f t="shared" si="1"/>
        <v>45</v>
      </c>
      <c r="B49" s="13">
        <v>300</v>
      </c>
      <c r="C49" s="14">
        <f>B49/A49</f>
        <v>6.666666666666667</v>
      </c>
      <c r="D49" s="15">
        <f t="shared" si="3"/>
        <v>204.52886228543332</v>
      </c>
      <c r="E49" s="43">
        <v>329.21</v>
      </c>
      <c r="F49" s="17">
        <f t="shared" si="0"/>
        <v>124.68113771456666</v>
      </c>
      <c r="G49" s="28"/>
      <c r="H49" s="28" t="s">
        <v>15</v>
      </c>
      <c r="I49" s="28"/>
      <c r="J49" s="28"/>
    </row>
    <row r="50" spans="1:10" x14ac:dyDescent="0.35">
      <c r="A50" s="12">
        <f t="shared" si="1"/>
        <v>46</v>
      </c>
      <c r="B50" s="13">
        <v>300</v>
      </c>
      <c r="C50" s="14">
        <f>B50/A50</f>
        <v>6.5217391304347823</v>
      </c>
      <c r="D50" s="15">
        <f t="shared" si="3"/>
        <v>197.86219561876663</v>
      </c>
      <c r="E50" s="43">
        <v>322.88</v>
      </c>
      <c r="F50" s="17">
        <f t="shared" si="0"/>
        <v>125.01780438123336</v>
      </c>
      <c r="G50" s="28"/>
      <c r="H50" s="28" t="s">
        <v>15</v>
      </c>
      <c r="I50" s="28"/>
      <c r="J50" s="28"/>
    </row>
    <row r="51" spans="1:10" x14ac:dyDescent="0.35">
      <c r="A51" s="12">
        <f t="shared" si="1"/>
        <v>47</v>
      </c>
      <c r="B51" s="13">
        <v>300</v>
      </c>
      <c r="C51" s="14">
        <f>B51/A51</f>
        <v>6.3829787234042552</v>
      </c>
      <c r="D51" s="15">
        <f t="shared" si="3"/>
        <v>191.34045648833185</v>
      </c>
      <c r="E51" s="43">
        <v>316.69</v>
      </c>
      <c r="F51" s="17">
        <f t="shared" si="0"/>
        <v>125.34954351166814</v>
      </c>
      <c r="G51" s="28"/>
      <c r="H51" s="28" t="s">
        <v>15</v>
      </c>
      <c r="I51" s="28"/>
      <c r="J51" s="28"/>
    </row>
    <row r="52" spans="1:10" x14ac:dyDescent="0.35">
      <c r="A52" s="12">
        <f t="shared" si="1"/>
        <v>48</v>
      </c>
      <c r="B52" s="13">
        <v>300</v>
      </c>
      <c r="C52" s="14">
        <f>B52/A52</f>
        <v>6.25</v>
      </c>
      <c r="D52" s="15">
        <f t="shared" si="3"/>
        <v>184.95747776492763</v>
      </c>
      <c r="E52" s="43">
        <v>310.69</v>
      </c>
      <c r="F52" s="17">
        <f t="shared" si="0"/>
        <v>125.73252223507237</v>
      </c>
      <c r="G52" s="28"/>
      <c r="H52" s="28" t="s">
        <v>15</v>
      </c>
      <c r="I52" s="28"/>
      <c r="J52" s="28"/>
    </row>
    <row r="53" spans="1:10" x14ac:dyDescent="0.35">
      <c r="A53" s="12">
        <f t="shared" si="1"/>
        <v>49</v>
      </c>
      <c r="B53" s="13">
        <v>300</v>
      </c>
      <c r="C53" s="14">
        <f>B53/A53</f>
        <v>6.1224489795918364</v>
      </c>
      <c r="D53" s="15">
        <f t="shared" si="3"/>
        <v>178.7074777649276</v>
      </c>
      <c r="E53" s="43">
        <v>304.7</v>
      </c>
      <c r="F53" s="17">
        <f t="shared" si="0"/>
        <v>125.99252223507239</v>
      </c>
      <c r="G53" s="28"/>
      <c r="H53" s="28" t="s">
        <v>15</v>
      </c>
      <c r="I53" s="28"/>
      <c r="J53" s="28"/>
    </row>
    <row r="54" spans="1:10" x14ac:dyDescent="0.35">
      <c r="A54" s="12">
        <f t="shared" si="1"/>
        <v>50</v>
      </c>
      <c r="B54" s="13">
        <v>300</v>
      </c>
      <c r="C54" s="14">
        <f>B54/A54</f>
        <v>6</v>
      </c>
      <c r="D54" s="15">
        <f t="shared" si="3"/>
        <v>172.58502878533577</v>
      </c>
      <c r="E54" s="43">
        <v>298.89</v>
      </c>
      <c r="F54" s="17">
        <f t="shared" si="0"/>
        <v>126.30497121466422</v>
      </c>
      <c r="G54" s="28"/>
      <c r="H54" s="28" t="s">
        <v>15</v>
      </c>
      <c r="I54" s="28"/>
      <c r="J54" s="28"/>
    </row>
    <row r="55" spans="1:10" x14ac:dyDescent="0.35">
      <c r="A55" s="12">
        <f t="shared" si="1"/>
        <v>51</v>
      </c>
      <c r="B55" s="13">
        <v>300</v>
      </c>
      <c r="C55" s="14">
        <f>B55/A55</f>
        <v>5.882352941176471</v>
      </c>
      <c r="D55" s="15">
        <f t="shared" si="3"/>
        <v>166.58502878533577</v>
      </c>
      <c r="E55" s="43">
        <v>293.19</v>
      </c>
      <c r="F55" s="17">
        <f t="shared" si="0"/>
        <v>126.60497121466423</v>
      </c>
      <c r="G55" s="28"/>
      <c r="H55" s="28" t="s">
        <v>15</v>
      </c>
      <c r="I55" s="28"/>
      <c r="J55" s="28"/>
    </row>
    <row r="56" spans="1:10" x14ac:dyDescent="0.35">
      <c r="A56" s="12">
        <f t="shared" si="1"/>
        <v>52</v>
      </c>
      <c r="B56" s="13">
        <v>300</v>
      </c>
      <c r="C56" s="14">
        <f>B56/A56</f>
        <v>5.7692307692307692</v>
      </c>
      <c r="D56" s="15">
        <f t="shared" si="3"/>
        <v>160.7026758441593</v>
      </c>
      <c r="E56" s="43">
        <v>287.61</v>
      </c>
      <c r="F56" s="17">
        <f t="shared" si="0"/>
        <v>126.90732415584071</v>
      </c>
      <c r="G56" s="28"/>
      <c r="H56" s="28" t="s">
        <v>15</v>
      </c>
      <c r="I56" s="28"/>
      <c r="J56" s="28"/>
    </row>
    <row r="57" spans="1:10" x14ac:dyDescent="0.35">
      <c r="A57" s="12">
        <f t="shared" si="1"/>
        <v>53</v>
      </c>
      <c r="B57" s="13">
        <v>300</v>
      </c>
      <c r="C57" s="14">
        <f>B57/A57</f>
        <v>5.6603773584905657</v>
      </c>
      <c r="D57" s="15">
        <f t="shared" si="3"/>
        <v>154.93344507492853</v>
      </c>
      <c r="E57" s="43">
        <v>282.13</v>
      </c>
      <c r="F57" s="17">
        <f t="shared" si="0"/>
        <v>127.19655492507147</v>
      </c>
      <c r="G57" s="28"/>
      <c r="H57" s="28" t="s">
        <v>15</v>
      </c>
      <c r="I57" s="28"/>
      <c r="J57" s="28"/>
    </row>
    <row r="58" spans="1:10" x14ac:dyDescent="0.35">
      <c r="A58" s="12">
        <f t="shared" si="1"/>
        <v>54</v>
      </c>
      <c r="B58" s="13">
        <v>300</v>
      </c>
      <c r="C58" s="14">
        <f>B58/A58</f>
        <v>5.5555555555555554</v>
      </c>
      <c r="D58" s="15">
        <f t="shared" si="3"/>
        <v>149.27306771643796</v>
      </c>
      <c r="E58" s="43">
        <v>271.49</v>
      </c>
      <c r="F58" s="17">
        <f t="shared" si="0"/>
        <v>122.21693228356204</v>
      </c>
      <c r="G58" s="28"/>
      <c r="H58" s="28" t="s">
        <v>15</v>
      </c>
      <c r="I58" s="28"/>
      <c r="J58" s="28"/>
    </row>
    <row r="59" spans="1:10" x14ac:dyDescent="0.35">
      <c r="A59" s="12">
        <f t="shared" si="1"/>
        <v>55</v>
      </c>
      <c r="B59" s="13">
        <v>300</v>
      </c>
      <c r="C59" s="14">
        <f>B59/A59</f>
        <v>5.4545454545454541</v>
      </c>
      <c r="D59" s="15">
        <f t="shared" si="3"/>
        <v>143.71751216088242</v>
      </c>
      <c r="E59" s="43">
        <v>261.04000000000002</v>
      </c>
      <c r="F59" s="17">
        <f t="shared" si="0"/>
        <v>117.3224878391176</v>
      </c>
      <c r="G59" s="28"/>
      <c r="H59" s="28" t="s">
        <v>15</v>
      </c>
      <c r="I59" s="28"/>
      <c r="J59" s="28"/>
    </row>
    <row r="60" spans="1:10" x14ac:dyDescent="0.35">
      <c r="A60" s="12">
        <f t="shared" si="1"/>
        <v>56</v>
      </c>
      <c r="B60" s="13">
        <v>300</v>
      </c>
      <c r="C60" s="14">
        <f>B60/A60</f>
        <v>5.3571428571428568</v>
      </c>
      <c r="D60" s="15">
        <f t="shared" si="3"/>
        <v>138.26296670633695</v>
      </c>
      <c r="E60" s="43">
        <v>250.78</v>
      </c>
      <c r="F60" s="17">
        <f t="shared" si="0"/>
        <v>112.51703329366305</v>
      </c>
      <c r="G60" s="28"/>
      <c r="H60" s="28" t="s">
        <v>15</v>
      </c>
      <c r="I60" s="28"/>
      <c r="J60" s="28"/>
    </row>
    <row r="61" spans="1:10" x14ac:dyDescent="0.35">
      <c r="A61" s="12">
        <f t="shared" si="1"/>
        <v>57</v>
      </c>
      <c r="B61" s="13">
        <v>300</v>
      </c>
      <c r="C61" s="14">
        <f>B61/A61</f>
        <v>5.2631578947368425</v>
      </c>
      <c r="D61" s="15">
        <f t="shared" si="3"/>
        <v>132.90582384919412</v>
      </c>
      <c r="E61" s="43">
        <v>240.7</v>
      </c>
      <c r="F61" s="17">
        <f t="shared" si="0"/>
        <v>107.79417615080587</v>
      </c>
      <c r="G61" s="28"/>
      <c r="H61" s="28" t="s">
        <v>15</v>
      </c>
      <c r="I61" s="28"/>
      <c r="J61" s="28"/>
    </row>
    <row r="62" spans="1:10" x14ac:dyDescent="0.35">
      <c r="A62" s="12">
        <f t="shared" si="1"/>
        <v>58</v>
      </c>
      <c r="B62" s="13">
        <v>300</v>
      </c>
      <c r="C62" s="14">
        <f>B62/A62</f>
        <v>5.1724137931034484</v>
      </c>
      <c r="D62" s="15">
        <f t="shared" si="3"/>
        <v>127.64266595445726</v>
      </c>
      <c r="E62" s="43">
        <v>230.79</v>
      </c>
      <c r="F62" s="17">
        <f t="shared" si="0"/>
        <v>103.14733404554273</v>
      </c>
      <c r="G62" s="28"/>
      <c r="H62" s="28" t="s">
        <v>15</v>
      </c>
      <c r="I62" s="28"/>
      <c r="J62" s="28"/>
    </row>
    <row r="63" spans="1:10" x14ac:dyDescent="0.35">
      <c r="A63" s="12">
        <f t="shared" si="1"/>
        <v>59</v>
      </c>
      <c r="B63" s="13">
        <v>300</v>
      </c>
      <c r="C63" s="14">
        <f>B63/A63</f>
        <v>5.0847457627118642</v>
      </c>
      <c r="D63" s="15">
        <f t="shared" si="3"/>
        <v>122.4702521613538</v>
      </c>
      <c r="E63" s="43">
        <v>221.05</v>
      </c>
      <c r="F63" s="17">
        <f t="shared" si="0"/>
        <v>98.579747838646213</v>
      </c>
      <c r="G63" s="28"/>
      <c r="H63" s="28" t="s">
        <v>15</v>
      </c>
      <c r="I63" s="28"/>
      <c r="J63" s="28"/>
    </row>
    <row r="64" spans="1:10" x14ac:dyDescent="0.35">
      <c r="A64" s="12">
        <f t="shared" si="1"/>
        <v>60</v>
      </c>
      <c r="B64" s="13">
        <v>300</v>
      </c>
      <c r="C64" s="14">
        <f>B64/A64</f>
        <v>5</v>
      </c>
      <c r="D64" s="15">
        <f t="shared" si="3"/>
        <v>117.38550639864194</v>
      </c>
      <c r="E64" s="43">
        <v>211.48</v>
      </c>
      <c r="F64" s="17">
        <f t="shared" si="0"/>
        <v>94.094493601358053</v>
      </c>
      <c r="G64" s="28"/>
      <c r="H64" s="28" t="s">
        <v>15</v>
      </c>
      <c r="I64" s="28"/>
      <c r="J64" s="28"/>
    </row>
    <row r="65" spans="1:10" x14ac:dyDescent="0.35">
      <c r="A65" s="12">
        <f t="shared" si="1"/>
        <v>61</v>
      </c>
      <c r="B65" s="13">
        <v>300</v>
      </c>
      <c r="C65" s="14">
        <f>B65/A65</f>
        <v>4.918032786885246</v>
      </c>
      <c r="D65" s="15">
        <f t="shared" si="3"/>
        <v>112.38550639864194</v>
      </c>
      <c r="E65" s="43">
        <v>197.4</v>
      </c>
      <c r="F65" s="17">
        <f t="shared" si="0"/>
        <v>85.014493601358069</v>
      </c>
      <c r="G65" s="28"/>
      <c r="H65" s="28" t="s">
        <v>15</v>
      </c>
      <c r="I65" s="28"/>
      <c r="J65" s="28"/>
    </row>
    <row r="66" spans="1:10" x14ac:dyDescent="0.35">
      <c r="A66" s="12">
        <f t="shared" si="1"/>
        <v>62</v>
      </c>
      <c r="B66" s="13">
        <v>300</v>
      </c>
      <c r="C66" s="14">
        <f>B66/A66</f>
        <v>4.838709677419355</v>
      </c>
      <c r="D66" s="15">
        <f t="shared" si="3"/>
        <v>107.46747361175669</v>
      </c>
      <c r="E66" s="43">
        <v>188.14</v>
      </c>
      <c r="F66" s="17">
        <f t="shared" si="0"/>
        <v>80.672526388243298</v>
      </c>
      <c r="G66" s="28"/>
      <c r="H66" s="28" t="s">
        <v>15</v>
      </c>
      <c r="I66" s="28"/>
      <c r="J66" s="28"/>
    </row>
    <row r="67" spans="1:10" x14ac:dyDescent="0.35">
      <c r="A67" s="12">
        <f t="shared" si="1"/>
        <v>63</v>
      </c>
      <c r="B67" s="13">
        <v>300</v>
      </c>
      <c r="C67" s="14">
        <f>B67/A67</f>
        <v>4.7619047619047619</v>
      </c>
      <c r="D67" s="15">
        <f t="shared" si="3"/>
        <v>102.62876393433734</v>
      </c>
      <c r="E67" s="43">
        <v>179.03</v>
      </c>
      <c r="F67" s="17">
        <f t="shared" si="0"/>
        <v>76.401236065662658</v>
      </c>
      <c r="G67" s="28"/>
      <c r="H67" s="28" t="s">
        <v>15</v>
      </c>
      <c r="I67" s="28"/>
      <c r="J67" s="28"/>
    </row>
    <row r="68" spans="1:10" x14ac:dyDescent="0.35">
      <c r="A68" s="12">
        <f t="shared" si="1"/>
        <v>64</v>
      </c>
      <c r="B68" s="13">
        <v>300</v>
      </c>
      <c r="C68" s="14">
        <f>B68/A68</f>
        <v>4.6875</v>
      </c>
      <c r="D68" s="15">
        <f t="shared" si="3"/>
        <v>97.866859172432584</v>
      </c>
      <c r="E68" s="43">
        <v>170.06</v>
      </c>
      <c r="F68" s="17">
        <f t="shared" si="0"/>
        <v>72.193140827567419</v>
      </c>
      <c r="G68" s="28"/>
      <c r="H68" s="28" t="s">
        <v>15</v>
      </c>
      <c r="I68" s="28"/>
      <c r="J68" s="28"/>
    </row>
    <row r="69" spans="1:10" x14ac:dyDescent="0.35">
      <c r="A69" s="12">
        <f t="shared" si="1"/>
        <v>65</v>
      </c>
      <c r="B69" s="13">
        <v>300</v>
      </c>
      <c r="C69" s="14">
        <f>B69/A69</f>
        <v>4.615384615384615</v>
      </c>
      <c r="D69" s="15">
        <f t="shared" si="3"/>
        <v>93.179359172432584</v>
      </c>
      <c r="E69" s="43">
        <v>161.22999999999999</v>
      </c>
      <c r="F69" s="17">
        <f t="shared" si="0"/>
        <v>68.050640827567406</v>
      </c>
      <c r="G69" s="28"/>
      <c r="H69" s="28" t="s">
        <v>15</v>
      </c>
      <c r="I69" s="28"/>
      <c r="J69" s="28"/>
    </row>
    <row r="70" spans="1:10" x14ac:dyDescent="0.35">
      <c r="A70" s="12">
        <f t="shared" si="1"/>
        <v>66</v>
      </c>
      <c r="B70" s="13">
        <v>300</v>
      </c>
      <c r="C70" s="14">
        <f>B70/A70</f>
        <v>4.5454545454545459</v>
      </c>
      <c r="D70" s="15">
        <f t="shared" si="3"/>
        <v>88.56397455704797</v>
      </c>
      <c r="E70" s="43">
        <v>149.12</v>
      </c>
      <c r="F70" s="17">
        <f t="shared" ref="F70:F97" si="4">E70-D70</f>
        <v>60.556025442952034</v>
      </c>
      <c r="G70" s="28"/>
      <c r="H70" s="28" t="s">
        <v>15</v>
      </c>
      <c r="I70" s="28"/>
      <c r="J70" s="28"/>
    </row>
    <row r="71" spans="1:10" x14ac:dyDescent="0.35">
      <c r="A71" s="12">
        <f t="shared" si="1"/>
        <v>67</v>
      </c>
      <c r="B71" s="13">
        <v>300</v>
      </c>
      <c r="C71" s="14">
        <f>B71/A71</f>
        <v>4.4776119402985071</v>
      </c>
      <c r="D71" s="15">
        <f t="shared" si="3"/>
        <v>84.018520011593424</v>
      </c>
      <c r="E71" s="43">
        <v>140.56</v>
      </c>
      <c r="F71" s="17">
        <f t="shared" si="4"/>
        <v>56.541479988406579</v>
      </c>
      <c r="G71" s="28"/>
      <c r="H71" s="28" t="s">
        <v>15</v>
      </c>
      <c r="I71" s="28"/>
      <c r="J71" s="28"/>
    </row>
    <row r="72" spans="1:10" x14ac:dyDescent="0.35">
      <c r="A72" s="12">
        <f t="shared" ref="A72:A97" si="5">A71+1</f>
        <v>68</v>
      </c>
      <c r="B72" s="13">
        <v>300</v>
      </c>
      <c r="C72" s="14">
        <f>B72/A72</f>
        <v>4.4117647058823533</v>
      </c>
      <c r="D72" s="15">
        <f t="shared" si="3"/>
        <v>79.540908071294922</v>
      </c>
      <c r="E72" s="43">
        <v>132.12</v>
      </c>
      <c r="F72" s="17">
        <f t="shared" si="4"/>
        <v>52.579091928705083</v>
      </c>
      <c r="G72" s="28"/>
      <c r="H72" s="28" t="s">
        <v>15</v>
      </c>
      <c r="I72" s="28"/>
      <c r="J72" s="28"/>
    </row>
    <row r="73" spans="1:10" x14ac:dyDescent="0.35">
      <c r="A73" s="12">
        <f t="shared" si="5"/>
        <v>69</v>
      </c>
      <c r="B73" s="13">
        <v>300</v>
      </c>
      <c r="C73" s="14">
        <f>B73/A73</f>
        <v>4.3478260869565215</v>
      </c>
      <c r="D73" s="15">
        <f t="shared" si="3"/>
        <v>75.129143365412574</v>
      </c>
      <c r="E73" s="43">
        <v>123.51</v>
      </c>
      <c r="F73" s="17">
        <f t="shared" si="4"/>
        <v>48.380856634587431</v>
      </c>
      <c r="G73" s="28"/>
      <c r="H73" s="28" t="s">
        <v>15</v>
      </c>
      <c r="I73" s="28"/>
      <c r="J73" s="28"/>
    </row>
    <row r="74" spans="1:10" x14ac:dyDescent="0.35">
      <c r="A74" s="12">
        <f t="shared" si="5"/>
        <v>70</v>
      </c>
      <c r="B74" s="13">
        <v>300</v>
      </c>
      <c r="C74" s="14">
        <f>B74/A74</f>
        <v>4.2857142857142856</v>
      </c>
      <c r="D74" s="15">
        <f t="shared" si="3"/>
        <v>70.781317278456058</v>
      </c>
      <c r="E74" s="43">
        <v>114.72</v>
      </c>
      <c r="F74" s="17">
        <f t="shared" si="4"/>
        <v>43.938682721543941</v>
      </c>
      <c r="G74" s="28"/>
      <c r="H74" s="28" t="s">
        <v>15</v>
      </c>
      <c r="I74" s="28"/>
      <c r="J74" s="28"/>
    </row>
    <row r="75" spans="1:10" x14ac:dyDescent="0.35">
      <c r="A75" s="12">
        <f t="shared" si="5"/>
        <v>71</v>
      </c>
      <c r="B75" s="13">
        <v>300</v>
      </c>
      <c r="C75" s="14">
        <f>B75/A75</f>
        <v>4.225352112676056</v>
      </c>
      <c r="D75" s="15">
        <f t="shared" si="3"/>
        <v>66.495602992741766</v>
      </c>
      <c r="E75" s="43">
        <v>106.05</v>
      </c>
      <c r="F75" s="17">
        <f t="shared" si="4"/>
        <v>39.554397007258231</v>
      </c>
      <c r="G75" s="28"/>
      <c r="H75" s="28" t="s">
        <v>15</v>
      </c>
      <c r="I75" s="28"/>
      <c r="J75" s="28"/>
    </row>
    <row r="76" spans="1:10" x14ac:dyDescent="0.35">
      <c r="A76" s="12">
        <f t="shared" si="5"/>
        <v>72</v>
      </c>
      <c r="B76" s="13">
        <v>300</v>
      </c>
      <c r="C76" s="14">
        <f>B76/A76</f>
        <v>4.166666666666667</v>
      </c>
      <c r="D76" s="15">
        <f t="shared" si="3"/>
        <v>62.270250880065717</v>
      </c>
      <c r="E76" s="43">
        <v>97.51</v>
      </c>
      <c r="F76" s="17">
        <f t="shared" si="4"/>
        <v>35.239749119934288</v>
      </c>
      <c r="G76" s="28"/>
      <c r="H76" s="28" t="s">
        <v>15</v>
      </c>
      <c r="I76" s="28"/>
      <c r="J76" s="28"/>
    </row>
    <row r="77" spans="1:10" x14ac:dyDescent="0.35">
      <c r="A77" s="12">
        <f t="shared" si="5"/>
        <v>73</v>
      </c>
      <c r="B77" s="13">
        <v>300</v>
      </c>
      <c r="C77" s="14">
        <f>B77/A77</f>
        <v>4.1095890410958908</v>
      </c>
      <c r="D77" s="15">
        <f>SUM(C77:C168)+$G$5</f>
        <v>58.103584213399046</v>
      </c>
      <c r="E77" s="43">
        <v>89.08</v>
      </c>
      <c r="F77" s="17">
        <f t="shared" si="4"/>
        <v>30.976415786600953</v>
      </c>
      <c r="G77" s="28"/>
      <c r="H77" s="28" t="s">
        <v>15</v>
      </c>
      <c r="I77" s="28"/>
      <c r="J77" s="28"/>
    </row>
    <row r="78" spans="1:10" x14ac:dyDescent="0.35">
      <c r="A78" s="12">
        <f t="shared" si="5"/>
        <v>74</v>
      </c>
      <c r="B78" s="13">
        <v>300</v>
      </c>
      <c r="C78" s="14">
        <f>B78/A78</f>
        <v>4.0540540540540544</v>
      </c>
      <c r="D78" s="15">
        <f>SUM(C78:C169)+$G$5</f>
        <v>53.993995172303151</v>
      </c>
      <c r="E78" s="43">
        <v>80.77</v>
      </c>
      <c r="F78" s="17">
        <f t="shared" si="4"/>
        <v>26.776004827696845</v>
      </c>
      <c r="G78" s="28"/>
      <c r="H78" s="28" t="s">
        <v>15</v>
      </c>
      <c r="I78" s="28"/>
      <c r="J78" s="28"/>
    </row>
    <row r="79" spans="1:10" x14ac:dyDescent="0.35">
      <c r="A79" s="12">
        <f t="shared" si="5"/>
        <v>75</v>
      </c>
      <c r="B79" s="13">
        <v>300</v>
      </c>
      <c r="C79" s="14">
        <f>B79/A79</f>
        <v>4</v>
      </c>
      <c r="D79" s="15">
        <f>SUM(C79:C170)+$G$5</f>
        <v>49.939941118249095</v>
      </c>
      <c r="E79" s="43">
        <v>72.5</v>
      </c>
      <c r="F79" s="17">
        <f t="shared" si="4"/>
        <v>22.560058881750905</v>
      </c>
      <c r="G79" s="28"/>
      <c r="H79" s="28" t="s">
        <v>15</v>
      </c>
      <c r="I79" s="28"/>
      <c r="J79" s="28"/>
    </row>
    <row r="80" spans="1:10" ht="43.5" x14ac:dyDescent="0.35">
      <c r="A80" s="23">
        <f t="shared" si="5"/>
        <v>76</v>
      </c>
      <c r="B80" s="24">
        <v>300</v>
      </c>
      <c r="C80" s="25">
        <f>B80/86</f>
        <v>3.4883720930232558</v>
      </c>
      <c r="D80" s="20">
        <f>C80</f>
        <v>3.4883720930232558</v>
      </c>
      <c r="E80" s="25">
        <v>4.1100000000000003</v>
      </c>
      <c r="F80" s="27">
        <f t="shared" si="4"/>
        <v>0.62162790697674453</v>
      </c>
      <c r="G80" s="27">
        <f>B80/86</f>
        <v>3.4883720930232558</v>
      </c>
      <c r="H80" s="30" t="s">
        <v>12</v>
      </c>
      <c r="I80" s="28"/>
      <c r="J80" s="28"/>
    </row>
    <row r="81" spans="1:10" x14ac:dyDescent="0.35">
      <c r="A81" s="12">
        <f t="shared" si="5"/>
        <v>77</v>
      </c>
      <c r="B81" s="13">
        <v>300</v>
      </c>
      <c r="C81" s="14">
        <f>B81/A81</f>
        <v>3.8961038961038961</v>
      </c>
      <c r="D81" s="15">
        <f>SUM(C81:C172)+$G$5+$G$80</f>
        <v>45.939941118249095</v>
      </c>
      <c r="E81" s="43">
        <v>64.010000000000005</v>
      </c>
      <c r="F81" s="17">
        <f t="shared" si="4"/>
        <v>18.07005888175091</v>
      </c>
      <c r="G81" s="28"/>
      <c r="H81" s="28" t="s">
        <v>15</v>
      </c>
      <c r="I81" s="28"/>
      <c r="J81" s="28"/>
    </row>
    <row r="82" spans="1:10" x14ac:dyDescent="0.35">
      <c r="A82" s="12">
        <f t="shared" si="5"/>
        <v>78</v>
      </c>
      <c r="B82" s="13">
        <v>300</v>
      </c>
      <c r="C82" s="14">
        <f>B82/A82</f>
        <v>3.8461538461538463</v>
      </c>
      <c r="D82" s="15">
        <f>SUM(C82:C173)+$G$5+$G$80</f>
        <v>42.043837222145207</v>
      </c>
      <c r="E82" s="43">
        <v>55.88</v>
      </c>
      <c r="F82" s="17">
        <f t="shared" si="4"/>
        <v>13.836162777854796</v>
      </c>
      <c r="G82" s="28"/>
      <c r="H82" s="28" t="s">
        <v>15</v>
      </c>
      <c r="I82" s="28"/>
      <c r="J82" s="28"/>
    </row>
    <row r="83" spans="1:10" x14ac:dyDescent="0.35">
      <c r="A83" s="4">
        <f t="shared" si="5"/>
        <v>79</v>
      </c>
      <c r="B83" s="6">
        <v>0</v>
      </c>
      <c r="C83" s="7">
        <f>B83/A83</f>
        <v>0</v>
      </c>
      <c r="D83" s="5">
        <v>0</v>
      </c>
      <c r="E83" s="7">
        <v>0</v>
      </c>
      <c r="F83" s="19">
        <f t="shared" si="4"/>
        <v>0</v>
      </c>
      <c r="G83" s="18"/>
      <c r="H83" s="18" t="s">
        <v>16</v>
      </c>
      <c r="I83" s="28"/>
      <c r="J83" s="28"/>
    </row>
    <row r="84" spans="1:10" x14ac:dyDescent="0.35">
      <c r="A84" s="4">
        <f t="shared" si="5"/>
        <v>80</v>
      </c>
      <c r="B84" s="6">
        <v>0</v>
      </c>
      <c r="C84" s="7">
        <f>B84/A84</f>
        <v>0</v>
      </c>
      <c r="D84" s="5">
        <v>0</v>
      </c>
      <c r="E84" s="7">
        <v>0</v>
      </c>
      <c r="F84" s="19">
        <f t="shared" si="4"/>
        <v>0</v>
      </c>
      <c r="G84" s="18"/>
      <c r="H84" s="18" t="s">
        <v>16</v>
      </c>
      <c r="I84" s="28"/>
      <c r="J84" s="28"/>
    </row>
    <row r="85" spans="1:10" x14ac:dyDescent="0.35">
      <c r="A85" s="12">
        <f t="shared" si="5"/>
        <v>81</v>
      </c>
      <c r="B85" s="13">
        <v>300</v>
      </c>
      <c r="C85" s="14">
        <f>B85/A85</f>
        <v>3.7037037037037037</v>
      </c>
      <c r="D85" s="15">
        <f>SUM(C85:C176)+$G$5+$G$80</f>
        <v>38.19768337599136</v>
      </c>
      <c r="E85" s="43">
        <v>48.38</v>
      </c>
      <c r="F85" s="17">
        <f t="shared" si="4"/>
        <v>10.182316624008642</v>
      </c>
      <c r="G85" s="28"/>
      <c r="H85" s="28" t="s">
        <v>15</v>
      </c>
      <c r="I85" s="28"/>
      <c r="J85" s="28"/>
    </row>
    <row r="86" spans="1:10" x14ac:dyDescent="0.35">
      <c r="A86" s="12">
        <f t="shared" si="5"/>
        <v>82</v>
      </c>
      <c r="B86" s="13">
        <v>300</v>
      </c>
      <c r="C86" s="14">
        <f>B86/A86</f>
        <v>3.6585365853658538</v>
      </c>
      <c r="D86" s="15">
        <f>SUM(C86:C177)+$G$5+$G$80</f>
        <v>34.493979672287651</v>
      </c>
      <c r="E86" s="43">
        <v>41.02</v>
      </c>
      <c r="F86" s="17">
        <f t="shared" si="4"/>
        <v>6.5260203277123523</v>
      </c>
      <c r="G86" s="28"/>
      <c r="H86" s="28" t="s">
        <v>15</v>
      </c>
      <c r="I86" s="28"/>
      <c r="J86" s="28"/>
    </row>
    <row r="87" spans="1:10" x14ac:dyDescent="0.35">
      <c r="A87" s="12">
        <f t="shared" si="5"/>
        <v>83</v>
      </c>
      <c r="B87" s="13">
        <v>300</v>
      </c>
      <c r="C87" s="14">
        <f>B87/A87</f>
        <v>3.6144578313253013</v>
      </c>
      <c r="D87" s="15">
        <f>SUM(C87:C178)+$G$5+$G$80</f>
        <v>30.835443086921796</v>
      </c>
      <c r="E87" s="43">
        <v>33.75</v>
      </c>
      <c r="F87" s="17">
        <f t="shared" si="4"/>
        <v>2.9145569130782043</v>
      </c>
      <c r="G87" s="28"/>
      <c r="H87" s="28" t="s">
        <v>15</v>
      </c>
      <c r="I87" s="28"/>
      <c r="J87" s="28"/>
    </row>
    <row r="88" spans="1:10" x14ac:dyDescent="0.35">
      <c r="A88" s="4">
        <f t="shared" si="5"/>
        <v>84</v>
      </c>
      <c r="B88" s="6">
        <v>0</v>
      </c>
      <c r="C88" s="7">
        <f>B88/A88</f>
        <v>0</v>
      </c>
      <c r="D88" s="5">
        <v>0</v>
      </c>
      <c r="E88" s="7">
        <v>0</v>
      </c>
      <c r="F88" s="19">
        <f t="shared" si="4"/>
        <v>0</v>
      </c>
      <c r="G88" s="18"/>
      <c r="H88" s="18" t="s">
        <v>16</v>
      </c>
      <c r="I88" s="28"/>
      <c r="J88" s="28"/>
    </row>
    <row r="89" spans="1:10" x14ac:dyDescent="0.35">
      <c r="A89" s="4">
        <f t="shared" si="5"/>
        <v>85</v>
      </c>
      <c r="B89" s="6">
        <v>0</v>
      </c>
      <c r="C89" s="7">
        <f>B89/A89</f>
        <v>0</v>
      </c>
      <c r="D89" s="5">
        <v>0</v>
      </c>
      <c r="E89" s="7">
        <v>0</v>
      </c>
      <c r="F89" s="19">
        <f t="shared" si="4"/>
        <v>0</v>
      </c>
      <c r="G89" s="18"/>
      <c r="H89" s="18" t="s">
        <v>16</v>
      </c>
      <c r="I89" s="28"/>
      <c r="J89" s="28"/>
    </row>
    <row r="90" spans="1:10" x14ac:dyDescent="0.35">
      <c r="A90" s="12">
        <f t="shared" si="5"/>
        <v>86</v>
      </c>
      <c r="B90" s="13">
        <v>300</v>
      </c>
      <c r="C90" s="14">
        <f>B90/A90</f>
        <v>3.4883720930232558</v>
      </c>
      <c r="D90" s="15">
        <f t="shared" ref="D90:D93" si="6">SUM(C90:C181)+$G$5+$G$80</f>
        <v>27.220985255596492</v>
      </c>
      <c r="E90" s="43">
        <v>26.64</v>
      </c>
      <c r="F90" s="17">
        <f t="shared" si="4"/>
        <v>-0.58098525559649161</v>
      </c>
      <c r="G90" s="28"/>
      <c r="H90" s="28" t="s">
        <v>15</v>
      </c>
      <c r="I90" s="28"/>
      <c r="J90" s="28"/>
    </row>
    <row r="91" spans="1:10" x14ac:dyDescent="0.35">
      <c r="A91" s="12">
        <f t="shared" si="5"/>
        <v>87</v>
      </c>
      <c r="B91" s="13">
        <v>300</v>
      </c>
      <c r="C91" s="14">
        <f>B91/A91</f>
        <v>3.4482758620689653</v>
      </c>
      <c r="D91" s="15">
        <f t="shared" si="6"/>
        <v>23.732613162573241</v>
      </c>
      <c r="E91" s="43">
        <v>19.7</v>
      </c>
      <c r="F91" s="17">
        <f t="shared" si="4"/>
        <v>-4.0326131625732415</v>
      </c>
      <c r="G91" s="28"/>
      <c r="H91" s="28" t="s">
        <v>15</v>
      </c>
      <c r="I91" s="28"/>
      <c r="J91" s="28"/>
    </row>
    <row r="92" spans="1:10" x14ac:dyDescent="0.35">
      <c r="A92" s="12">
        <f t="shared" si="5"/>
        <v>88</v>
      </c>
      <c r="B92" s="13">
        <v>300</v>
      </c>
      <c r="C92" s="14">
        <f>B92/A92</f>
        <v>3.4090909090909092</v>
      </c>
      <c r="D92" s="15">
        <f t="shared" si="6"/>
        <v>20.284337300504273</v>
      </c>
      <c r="E92" s="43">
        <v>16.260000000000002</v>
      </c>
      <c r="F92" s="17">
        <f t="shared" si="4"/>
        <v>-4.0243373005042713</v>
      </c>
      <c r="G92" s="28"/>
      <c r="H92" s="28" t="s">
        <v>15</v>
      </c>
      <c r="I92" s="28"/>
      <c r="J92" s="28"/>
    </row>
    <row r="93" spans="1:10" x14ac:dyDescent="0.35">
      <c r="A93" s="12">
        <f t="shared" si="5"/>
        <v>89</v>
      </c>
      <c r="B93" s="13">
        <v>300</v>
      </c>
      <c r="C93" s="14">
        <f>B93/A93</f>
        <v>3.3707865168539324</v>
      </c>
      <c r="D93" s="15">
        <f t="shared" si="6"/>
        <v>16.875246391413366</v>
      </c>
      <c r="E93" s="43">
        <v>12.85</v>
      </c>
      <c r="F93" s="17">
        <f t="shared" si="4"/>
        <v>-4.0252463914133667</v>
      </c>
      <c r="G93" s="28"/>
      <c r="H93" s="28" t="s">
        <v>15</v>
      </c>
      <c r="I93" s="28"/>
      <c r="J93" s="28"/>
    </row>
    <row r="94" spans="1:10" x14ac:dyDescent="0.35">
      <c r="A94" s="4">
        <f t="shared" si="5"/>
        <v>90</v>
      </c>
      <c r="B94" s="6">
        <v>0</v>
      </c>
      <c r="C94" s="7">
        <f>B94/A94</f>
        <v>0</v>
      </c>
      <c r="D94" s="5">
        <v>0</v>
      </c>
      <c r="E94" s="7">
        <v>0</v>
      </c>
      <c r="F94" s="19">
        <f t="shared" si="4"/>
        <v>0</v>
      </c>
      <c r="G94" s="18"/>
      <c r="H94" s="18" t="s">
        <v>16</v>
      </c>
      <c r="I94" s="28"/>
      <c r="J94" s="28"/>
    </row>
    <row r="95" spans="1:10" x14ac:dyDescent="0.35">
      <c r="A95" s="4">
        <f t="shared" si="5"/>
        <v>91</v>
      </c>
      <c r="B95" s="6">
        <v>0</v>
      </c>
      <c r="C95" s="7">
        <f>B95/A95</f>
        <v>0</v>
      </c>
      <c r="D95" s="5">
        <v>0</v>
      </c>
      <c r="E95" s="7">
        <v>0</v>
      </c>
      <c r="F95" s="19">
        <f t="shared" si="4"/>
        <v>0</v>
      </c>
      <c r="G95" s="18"/>
      <c r="H95" s="18" t="s">
        <v>16</v>
      </c>
      <c r="I95" s="28"/>
      <c r="J95" s="28"/>
    </row>
    <row r="96" spans="1:10" x14ac:dyDescent="0.35">
      <c r="A96" s="12">
        <f t="shared" si="5"/>
        <v>92</v>
      </c>
      <c r="B96" s="13">
        <v>300</v>
      </c>
      <c r="C96" s="14">
        <f>B96/A96</f>
        <v>3.2608695652173911</v>
      </c>
      <c r="D96" s="15">
        <f t="shared" ref="D96:D97" si="7">SUM(C96:C187)+$G$5+$G$80</f>
        <v>13.504459874559434</v>
      </c>
      <c r="E96" s="43">
        <v>2.6</v>
      </c>
      <c r="F96" s="17">
        <f t="shared" si="4"/>
        <v>-10.904459874559434</v>
      </c>
      <c r="G96" s="28"/>
      <c r="H96" s="28" t="s">
        <v>15</v>
      </c>
      <c r="I96" s="28"/>
      <c r="J96" s="28"/>
    </row>
    <row r="97" spans="1:10" x14ac:dyDescent="0.35">
      <c r="A97" s="12">
        <f t="shared" si="5"/>
        <v>93</v>
      </c>
      <c r="B97" s="13">
        <v>300</v>
      </c>
      <c r="C97" s="14">
        <f>B97/A97</f>
        <v>3.225806451612903</v>
      </c>
      <c r="D97" s="15">
        <f t="shared" si="7"/>
        <v>10.243590309342041</v>
      </c>
      <c r="E97" s="43">
        <v>12.56</v>
      </c>
      <c r="F97" s="17">
        <f t="shared" si="4"/>
        <v>2.3164096906579594</v>
      </c>
      <c r="G97" s="28"/>
      <c r="H97" s="28" t="s">
        <v>15</v>
      </c>
      <c r="I97" s="28"/>
      <c r="J97" s="28"/>
    </row>
    <row r="98" spans="1:10" x14ac:dyDescent="0.35">
      <c r="A98" s="1"/>
      <c r="B98" s="1"/>
      <c r="C98" s="2"/>
      <c r="D98" s="3"/>
    </row>
    <row r="99" spans="1:10" x14ac:dyDescent="0.35">
      <c r="A99" s="1"/>
      <c r="B99" s="1"/>
      <c r="C99" s="2"/>
      <c r="D99" s="3"/>
    </row>
    <row r="100" spans="1:10" x14ac:dyDescent="0.35">
      <c r="A100" s="1"/>
      <c r="B100" s="1"/>
      <c r="C100" s="2"/>
      <c r="D100" s="3"/>
    </row>
    <row r="101" spans="1:10" x14ac:dyDescent="0.35">
      <c r="A101" s="1"/>
      <c r="B101" s="1"/>
      <c r="C101" s="2"/>
      <c r="D101" s="3"/>
    </row>
    <row r="102" spans="1:10" x14ac:dyDescent="0.35">
      <c r="A102" s="1"/>
      <c r="B102" s="1"/>
      <c r="C102" s="2"/>
      <c r="D102" s="3"/>
    </row>
    <row r="103" spans="1:10" x14ac:dyDescent="0.35">
      <c r="A103" s="1"/>
      <c r="B103" s="1"/>
      <c r="C103" s="2"/>
      <c r="D103" s="3"/>
    </row>
    <row r="104" spans="1:10" x14ac:dyDescent="0.35">
      <c r="A104" s="1"/>
      <c r="B104" s="1"/>
      <c r="C104" s="2"/>
      <c r="D104" s="3"/>
    </row>
  </sheetData>
  <autoFilter ref="A4:D104"/>
  <mergeCells count="6">
    <mergeCell ref="A2:J2"/>
    <mergeCell ref="L2:N2"/>
    <mergeCell ref="O7:O8"/>
    <mergeCell ref="L7:L8"/>
    <mergeCell ref="M7:M8"/>
    <mergeCell ref="N7:N8"/>
  </mergeCells>
  <hyperlinks>
    <hyperlink ref="H80" r:id="rId1"/>
    <hyperlink ref="H16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User-wise Inflow</vt:lpstr>
      <vt:lpstr>Total User-wise Inflow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2026-10-07T06:49:28Z</dcterms:created>
  <dcterms:modified xsi:type="dcterms:W3CDTF">2026-10-09T17:19:54Z</dcterms:modified>
</cp:coreProperties>
</file>